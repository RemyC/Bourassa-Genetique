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INGO64_17\Samples\"/>
    </mc:Choice>
  </mc:AlternateContent>
  <bookViews>
    <workbookView xWindow="0" yWindow="0" windowWidth="15300" windowHeight="5235"/>
  </bookViews>
  <sheets>
    <sheet name="DATA" sheetId="2" r:id="rId1"/>
    <sheet name="LINGO" sheetId="1" r:id="rId2"/>
    <sheet name="RESULT" sheetId="4" r:id="rId3"/>
    <sheet name="scénario1_dist" sheetId="5" r:id="rId4"/>
    <sheet name="scénario1_Cmax" sheetId="6" r:id="rId5"/>
  </sheets>
  <definedNames>
    <definedName name="AJ" localSheetId="1">LINGO!$B$8:$G$8</definedName>
    <definedName name="BETA" localSheetId="1">LINGO!$B$12:$K$12</definedName>
    <definedName name="CJ" localSheetId="1">LINGO!$B$9:$G$9</definedName>
    <definedName name="CMAX" localSheetId="1">LINGO!$B$1</definedName>
    <definedName name="D" localSheetId="1">LINGO!$N$6:$Q$9</definedName>
    <definedName name="dech_ens" localSheetId="0">DATA!$F$4:$K$13</definedName>
    <definedName name="DELTA" localSheetId="1">LINGO!$N$31:$W$40</definedName>
    <definedName name="DOCK" localSheetId="1">LINGO!$N$5:$Q$5</definedName>
    <definedName name="GAMMA" localSheetId="1">LINGO!$B$31:$K$40</definedName>
    <definedName name="IN" localSheetId="1">LINGO!$B$6:$G$6</definedName>
    <definedName name="LAMBDA" localSheetId="1">LINGO!$B$13:$K$13</definedName>
    <definedName name="LOAD" localSheetId="1">LINGO!$N$19:$W$24</definedName>
    <definedName name="mont_ens" localSheetId="0">DATA!$S$4:$X$13</definedName>
    <definedName name="mont_ens2" localSheetId="0">DATA!$AE$4:$AJ$13</definedName>
    <definedName name="MU" localSheetId="1">LINGO!$B$14:$K$14</definedName>
    <definedName name="OUT" localSheetId="1">LINGO!$B$7:$G$7</definedName>
    <definedName name="PALETTE" localSheetId="1">LINGO!$B$11:$K$11</definedName>
    <definedName name="Q" localSheetId="1">LINGO!$B$3</definedName>
    <definedName name="SIGMA" localSheetId="1">LINGO!$B$15:$K$15</definedName>
    <definedName name="TC" localSheetId="1">LINGO!$B$2</definedName>
    <definedName name="TRAILER" localSheetId="1">LINGO!$B$5:$G$5</definedName>
    <definedName name="UNLOAD" localSheetId="1">LINGO!$B$19:$K$24</definedName>
    <definedName name="V" localSheetId="1">LINGO!$C$57:$Z$80</definedName>
    <definedName name="X" localSheetId="1">LINGO!$B$43:$E$48</definedName>
    <definedName name="Y" localSheetId="1">LINGO!$N$43:$S$48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1" i="1"/>
</calcChain>
</file>

<file path=xl/sharedStrings.xml><?xml version="1.0" encoding="utf-8"?>
<sst xmlns="http://schemas.openxmlformats.org/spreadsheetml/2006/main" count="426" uniqueCount="85">
  <si>
    <t>TC</t>
  </si>
  <si>
    <t>Q</t>
  </si>
  <si>
    <t>IN</t>
  </si>
  <si>
    <t>OUT</t>
  </si>
  <si>
    <t>TRAILER</t>
  </si>
  <si>
    <t>PALETTE</t>
  </si>
  <si>
    <t>BETA</t>
  </si>
  <si>
    <t>U</t>
  </si>
  <si>
    <t>j1</t>
  </si>
  <si>
    <t>j2</t>
  </si>
  <si>
    <t>j3</t>
  </si>
  <si>
    <t>j4</t>
  </si>
  <si>
    <t>j5</t>
  </si>
  <si>
    <t>L</t>
  </si>
  <si>
    <t>D</t>
  </si>
  <si>
    <t>m1</t>
  </si>
  <si>
    <t>m2</t>
  </si>
  <si>
    <t>GAMMA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</si>
  <si>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</si>
  <si>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</si>
  <si>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</si>
  <si>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</si>
  <si>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</si>
  <si>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</si>
  <si>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</si>
  <si>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</si>
  <si>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</si>
  <si>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</si>
  <si>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pp1</t>
  </si>
  <si>
    <t>pp2</t>
  </si>
  <si>
    <t>pp3</t>
  </si>
  <si>
    <t>pp4</t>
  </si>
  <si>
    <t>pp5</t>
  </si>
  <si>
    <t>pp6</t>
  </si>
  <si>
    <t>pp7</t>
  </si>
  <si>
    <t>pp8</t>
  </si>
  <si>
    <t>pp9</t>
  </si>
  <si>
    <t>pp10</t>
  </si>
  <si>
    <t>A</t>
  </si>
  <si>
    <t>C</t>
  </si>
  <si>
    <t>CMAX</t>
  </si>
  <si>
    <t>LAMBDA</t>
  </si>
  <si>
    <t>MU</t>
  </si>
  <si>
    <t>SIGMA</t>
  </si>
  <si>
    <t>X</t>
  </si>
  <si>
    <t>Y</t>
  </si>
  <si>
    <t>DELTA</t>
  </si>
  <si>
    <t>V</t>
  </si>
  <si>
    <t>Données</t>
  </si>
  <si>
    <t>DECHARGEMENT</t>
  </si>
  <si>
    <t>Van</t>
  </si>
  <si>
    <t>MONTAGE</t>
  </si>
  <si>
    <t>Nombre de portes</t>
  </si>
  <si>
    <t>j6</t>
  </si>
  <si>
    <t>j7</t>
  </si>
  <si>
    <t>j8</t>
  </si>
  <si>
    <t>j9</t>
  </si>
  <si>
    <t>j10</t>
  </si>
  <si>
    <t>m3</t>
  </si>
  <si>
    <t>m4</t>
  </si>
  <si>
    <t>m5</t>
  </si>
  <si>
    <t>m6</t>
  </si>
  <si>
    <t>m7</t>
  </si>
  <si>
    <t>m8</t>
  </si>
  <si>
    <t>m9</t>
  </si>
  <si>
    <t>m10</t>
  </si>
  <si>
    <t>DOCK</t>
  </si>
  <si>
    <t>Formules</t>
  </si>
  <si>
    <t>t</t>
  </si>
  <si>
    <t>déchargement</t>
  </si>
  <si>
    <t>dispo</t>
  </si>
  <si>
    <t>prêt à charger</t>
  </si>
  <si>
    <t>chargé</t>
  </si>
  <si>
    <t>Nombre de déchargements</t>
  </si>
  <si>
    <t>Nombre de montages</t>
  </si>
  <si>
    <t>Nombre de commandes</t>
  </si>
  <si>
    <t>Numéro des portes</t>
  </si>
  <si>
    <t>Temps de déplacement</t>
  </si>
  <si>
    <t>MONTAGE (nouvel ordre)</t>
  </si>
  <si>
    <t>LINGO</t>
  </si>
  <si>
    <t>VBA</t>
  </si>
  <si>
    <t>Porte 2</t>
  </si>
  <si>
    <t>Porte 3</t>
  </si>
  <si>
    <t>Porte 1</t>
  </si>
  <si>
    <t>Porte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</si>
</sst>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2FF66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2" borderId="0" xfId="0" applyFill="1"/>
    <xf numFmtId="0" fontId="0" fillId="0" borderId="0" xfId="0" applyAlignment="1"/>
    <xf numFmtId="0" fontId="0" fillId="3" borderId="0" xfId="0" applyFill="1"/>
    <xf numFmtId="0" fontId="0" fillId="0" borderId="0" xfId="0" applyFill="1"/>
    <xf numFmtId="0" fontId="0" fillId="6" borderId="0" xfId="0" applyFill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8" borderId="0" xfId="0" applyFill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0" xfId="0" applyFill="1" applyBorder="1"/>
    <xf numFmtId="0" fontId="0" fillId="0" borderId="4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9" borderId="13" xfId="0" applyFill="1" applyBorder="1"/>
    <xf numFmtId="0" fontId="0" fillId="9" borderId="14" xfId="0" applyFill="1" applyBorder="1"/>
    <xf numFmtId="0" fontId="0" fillId="9" borderId="0" xfId="0" applyFill="1" applyBorder="1"/>
    <xf numFmtId="0" fontId="0" fillId="10" borderId="14" xfId="0" applyFill="1" applyBorder="1"/>
    <xf numFmtId="0" fontId="0" fillId="11" borderId="14" xfId="0" applyFill="1" applyBorder="1"/>
    <xf numFmtId="0" fontId="0" fillId="10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9" xfId="0" applyFill="1" applyBorder="1"/>
    <xf numFmtId="0" fontId="0" fillId="11" borderId="0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5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2" fillId="8" borderId="5" xfId="0" applyFont="1" applyFill="1" applyBorder="1"/>
    <xf numFmtId="0" fontId="0" fillId="10" borderId="5" xfId="0" applyFill="1" applyBorder="1"/>
    <xf numFmtId="0" fontId="0" fillId="0" borderId="11" xfId="0" applyBorder="1"/>
    <xf numFmtId="0" fontId="0" fillId="0" borderId="12" xfId="0" applyBorder="1"/>
    <xf numFmtId="0" fontId="0" fillId="0" borderId="4" xfId="0" applyBorder="1"/>
    <xf numFmtId="0" fontId="0" fillId="7" borderId="4" xfId="0" applyFill="1" applyBorder="1"/>
    <xf numFmtId="0" fontId="0" fillId="7" borderId="12" xfId="0" applyFill="1" applyBorder="1"/>
    <xf numFmtId="0" fontId="0" fillId="4" borderId="14" xfId="0" applyFill="1" applyBorder="1"/>
    <xf numFmtId="0" fontId="0" fillId="4" borderId="15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4" borderId="13" xfId="0" applyFill="1" applyBorder="1"/>
    <xf numFmtId="0" fontId="0" fillId="0" borderId="0" xfId="0" applyBorder="1"/>
    <xf numFmtId="0" fontId="0" fillId="7" borderId="0" xfId="0" applyFill="1"/>
    <xf numFmtId="0" fontId="0" fillId="7" borderId="0" xfId="0" applyFill="1" applyAlignment="1"/>
    <xf numFmtId="0" fontId="0" fillId="7" borderId="5" xfId="0" applyFill="1" applyBorder="1" applyAlignment="1">
      <alignment horizontal="center"/>
    </xf>
    <xf numFmtId="0" fontId="0" fillId="7" borderId="0" xfId="0" applyFill="1" applyAlignment="1">
      <alignment horizontal="right"/>
    </xf>
    <xf numFmtId="0" fontId="0" fillId="9" borderId="15" xfId="0" applyFill="1" applyBorder="1"/>
    <xf numFmtId="0" fontId="0" fillId="11" borderId="15" xfId="0" applyFill="1" applyBorder="1"/>
    <xf numFmtId="0" fontId="0" fillId="9" borderId="4" xfId="0" applyFill="1" applyBorder="1"/>
    <xf numFmtId="0" fontId="0" fillId="9" borderId="11" xfId="0" applyFill="1" applyBorder="1"/>
    <xf numFmtId="0" fontId="0" fillId="9" borderId="12" xfId="0" applyFill="1" applyBorder="1"/>
    <xf numFmtId="0" fontId="0" fillId="11" borderId="4" xfId="0" applyFill="1" applyBorder="1"/>
    <xf numFmtId="0" fontId="0" fillId="11" borderId="11" xfId="0" applyFill="1" applyBorder="1"/>
    <xf numFmtId="0" fontId="0" fillId="11" borderId="12" xfId="0" applyFill="1" applyBorder="1"/>
    <xf numFmtId="0" fontId="2" fillId="0" borderId="0" xfId="0" applyFont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3" fillId="7" borderId="18" xfId="0" applyFont="1" applyFill="1" applyBorder="1"/>
    <xf numFmtId="0" fontId="3" fillId="7" borderId="19" xfId="0" applyFont="1" applyFill="1" applyBorder="1"/>
    <xf numFmtId="0" fontId="3" fillId="7" borderId="20" xfId="0" applyFont="1" applyFill="1" applyBorder="1"/>
    <xf numFmtId="0" fontId="3" fillId="7" borderId="21" xfId="0" applyFont="1" applyFill="1" applyBorder="1"/>
    <xf numFmtId="0" fontId="3" fillId="7" borderId="0" xfId="0" applyFont="1" applyFill="1" applyBorder="1"/>
    <xf numFmtId="0" fontId="3" fillId="7" borderId="22" xfId="0" applyFont="1" applyFill="1" applyBorder="1"/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/>
    <xf numFmtId="0" fontId="3" fillId="7" borderId="25" xfId="0" applyFont="1" applyFill="1" applyBorder="1"/>
    <xf numFmtId="0" fontId="3" fillId="7" borderId="0" xfId="0" applyFont="1" applyFill="1"/>
    <xf numFmtId="0" fontId="0" fillId="0" borderId="2" xfId="0" applyFill="1" applyBorder="1"/>
    <xf numFmtId="0" fontId="0" fillId="5" borderId="10" xfId="0" applyFill="1" applyBorder="1" applyAlignment="1"/>
    <xf numFmtId="0" fontId="0" fillId="5" borderId="11" xfId="0" applyFill="1" applyBorder="1" applyAlignment="1"/>
    <xf numFmtId="0" fontId="0" fillId="5" borderId="12" xfId="0" applyFill="1" applyBorder="1" applyAlignment="1"/>
    <xf numFmtId="0" fontId="0" fillId="2" borderId="5" xfId="0" applyFill="1" applyBorder="1"/>
    <xf numFmtId="0" fontId="0" fillId="3" borderId="5" xfId="0" applyFill="1" applyBorder="1"/>
    <xf numFmtId="0" fontId="0" fillId="8" borderId="5" xfId="0" applyFill="1" applyBorder="1"/>
    <xf numFmtId="0" fontId="0" fillId="11" borderId="0" xfId="0" applyFill="1"/>
    <xf numFmtId="0" fontId="0" fillId="11" borderId="0" xfId="0" applyFill="1" applyAlignment="1"/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7" borderId="1" xfId="0" applyFill="1" applyBorder="1" applyAlignment="1">
      <alignment horizontal="center" vertical="center" textRotation="90" wrapText="1"/>
    </xf>
    <xf numFmtId="0" fontId="0" fillId="7" borderId="2" xfId="0" applyFill="1" applyBorder="1" applyAlignment="1">
      <alignment horizontal="center" vertical="center" textRotation="90"/>
    </xf>
    <xf numFmtId="0" fontId="0" fillId="7" borderId="3" xfId="0" applyFill="1" applyBorder="1" applyAlignment="1">
      <alignment horizontal="center" vertical="center" textRotation="90"/>
    </xf>
    <xf numFmtId="0" fontId="0" fillId="11" borderId="13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8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38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4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A8DFD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5</xdr:row>
          <xdr:rowOff>142875</xdr:rowOff>
        </xdr:from>
        <xdr:to>
          <xdr:col>1</xdr:col>
          <xdr:colOff>1524000</xdr:colOff>
          <xdr:row>8</xdr:row>
          <xdr:rowOff>104775</xdr:rowOff>
        </xdr:to>
        <xdr:sp macro="" textlink="">
          <xdr:nvSpPr>
            <xdr:cNvPr id="1025" name="Bou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1</xdr:col>
          <xdr:colOff>1524000</xdr:colOff>
          <xdr:row>12</xdr:row>
          <xdr:rowOff>47625</xdr:rowOff>
        </xdr:to>
        <xdr:sp macro="" textlink="">
          <xdr:nvSpPr>
            <xdr:cNvPr id="1026" name="Bou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V28"/>
  <sheetViews>
    <sheetView tabSelected="1" zoomScaleNormal="100" workbookViewId="0">
      <selection activeCell="AD21" sqref="AD21"/>
    </sheetView>
  </sheetViews>
  <sheetFormatPr baseColWidth="10" defaultRowHeight="15" x14ac:dyDescent="0.25"/>
  <cols>
    <col min="2" max="2" width="24.5703125" bestFit="1" customWidth="1"/>
    <col min="3" max="3" width="5" customWidth="1"/>
    <col min="4" max="4" width="3" bestFit="1" customWidth="1"/>
    <col min="5" max="5" width="7.140625" customWidth="1"/>
    <col min="6" max="40" width="2.85546875" customWidth="1"/>
    <col min="41" max="41" width="11.42578125" customWidth="1"/>
  </cols>
  <sheetData>
    <row r="1" spans="1:48" x14ac:dyDescent="0.25">
      <c r="A1" s="52"/>
      <c r="B1" s="52"/>
      <c r="C1" s="52"/>
      <c r="D1" s="52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2"/>
      <c r="Q1" s="52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</row>
    <row r="2" spans="1:48" x14ac:dyDescent="0.25">
      <c r="A2" s="52"/>
      <c r="B2" s="55" t="s">
        <v>73</v>
      </c>
      <c r="C2" s="52">
        <v>6</v>
      </c>
      <c r="D2" s="52"/>
      <c r="E2" s="52"/>
      <c r="F2" s="96" t="s">
        <v>49</v>
      </c>
      <c r="G2" s="97"/>
      <c r="H2" s="97"/>
      <c r="I2" s="97"/>
      <c r="J2" s="97"/>
      <c r="K2" s="97"/>
      <c r="L2" s="97"/>
      <c r="M2" s="97"/>
      <c r="N2" s="97"/>
      <c r="O2" s="98"/>
      <c r="P2" s="52"/>
      <c r="Q2" s="52"/>
      <c r="R2" s="52"/>
      <c r="S2" s="99" t="s">
        <v>51</v>
      </c>
      <c r="T2" s="100"/>
      <c r="U2" s="100"/>
      <c r="V2" s="100"/>
      <c r="W2" s="100"/>
      <c r="X2" s="100"/>
      <c r="Y2" s="100"/>
      <c r="Z2" s="100"/>
      <c r="AA2" s="100"/>
      <c r="AB2" s="101"/>
      <c r="AC2" s="52"/>
      <c r="AD2" s="52"/>
      <c r="AE2" s="99" t="s">
        <v>78</v>
      </c>
      <c r="AF2" s="100"/>
      <c r="AG2" s="100"/>
      <c r="AH2" s="100"/>
      <c r="AI2" s="100"/>
      <c r="AJ2" s="100"/>
      <c r="AK2" s="100"/>
      <c r="AL2" s="100"/>
      <c r="AM2" s="100"/>
      <c r="AN2" s="101"/>
      <c r="AO2" s="52"/>
      <c r="AP2" s="52"/>
      <c r="AQ2" s="52"/>
      <c r="AR2" s="52"/>
      <c r="AS2" s="52"/>
      <c r="AT2" s="52"/>
      <c r="AU2" s="52"/>
      <c r="AV2" s="52"/>
    </row>
    <row r="3" spans="1:48" x14ac:dyDescent="0.25">
      <c r="A3" s="52"/>
      <c r="B3" s="55" t="s">
        <v>74</v>
      </c>
      <c r="C3" s="52">
        <v>6</v>
      </c>
      <c r="D3" s="52"/>
      <c r="E3" s="54" t="s">
        <v>50</v>
      </c>
      <c r="F3" s="45">
        <v>1</v>
      </c>
      <c r="G3" s="45">
        <v>2</v>
      </c>
      <c r="H3" s="45">
        <v>3</v>
      </c>
      <c r="I3" s="45">
        <v>4</v>
      </c>
      <c r="J3" s="45">
        <v>5</v>
      </c>
      <c r="K3" s="45">
        <v>6</v>
      </c>
      <c r="L3" s="45">
        <v>7</v>
      </c>
      <c r="M3" s="45">
        <v>8</v>
      </c>
      <c r="N3" s="45">
        <v>9</v>
      </c>
      <c r="O3" s="46">
        <v>10</v>
      </c>
      <c r="P3" s="52"/>
      <c r="Q3" s="52"/>
      <c r="R3" s="52"/>
      <c r="S3" s="47"/>
      <c r="T3" s="48"/>
      <c r="U3" s="48"/>
      <c r="V3" s="48"/>
      <c r="W3" s="48"/>
      <c r="X3" s="48"/>
      <c r="Y3" s="48"/>
      <c r="Z3" s="48"/>
      <c r="AA3" s="48"/>
      <c r="AB3" s="49"/>
      <c r="AC3" s="52"/>
      <c r="AD3" s="52"/>
      <c r="AE3" s="88">
        <v>1</v>
      </c>
      <c r="AF3" s="89">
        <v>2</v>
      </c>
      <c r="AG3" s="89">
        <v>3</v>
      </c>
      <c r="AH3" s="89">
        <v>4</v>
      </c>
      <c r="AI3" s="89">
        <v>5</v>
      </c>
      <c r="AJ3" s="89">
        <v>6</v>
      </c>
      <c r="AK3" s="89">
        <v>7</v>
      </c>
      <c r="AL3" s="89">
        <v>8</v>
      </c>
      <c r="AM3" s="89">
        <v>9</v>
      </c>
      <c r="AN3" s="90">
        <v>10</v>
      </c>
      <c r="AO3" s="52"/>
      <c r="AP3" s="52"/>
      <c r="AQ3" s="52"/>
      <c r="AR3" s="52"/>
      <c r="AS3" s="52"/>
      <c r="AT3" s="52"/>
      <c r="AU3" s="52"/>
      <c r="AV3" s="52"/>
    </row>
    <row r="4" spans="1:48" x14ac:dyDescent="0.25">
      <c r="A4" s="52"/>
      <c r="B4" s="55" t="s">
        <v>75</v>
      </c>
      <c r="C4" s="52">
        <v>10</v>
      </c>
      <c r="D4" s="52"/>
      <c r="E4" s="102"/>
      <c r="F4" s="43">
        <v>6</v>
      </c>
      <c r="G4" s="7">
        <v>2</v>
      </c>
      <c r="H4" s="7">
        <v>5</v>
      </c>
      <c r="I4" s="7">
        <v>10</v>
      </c>
      <c r="J4" s="7">
        <v>4</v>
      </c>
      <c r="K4" s="7">
        <v>9</v>
      </c>
      <c r="L4" s="7"/>
      <c r="M4" s="7"/>
      <c r="N4" s="7"/>
      <c r="O4" s="7"/>
      <c r="P4" s="52"/>
      <c r="Q4" s="52"/>
      <c r="R4" s="52"/>
      <c r="S4" s="6">
        <v>10</v>
      </c>
      <c r="T4" s="6">
        <v>7</v>
      </c>
      <c r="U4" s="6">
        <v>5</v>
      </c>
      <c r="V4" s="6">
        <v>3</v>
      </c>
      <c r="W4" s="6">
        <v>8</v>
      </c>
      <c r="X4" s="6">
        <v>1</v>
      </c>
      <c r="Y4" s="6"/>
      <c r="Z4" s="6"/>
      <c r="AA4" s="6"/>
      <c r="AB4" s="6"/>
      <c r="AC4" s="52"/>
      <c r="AD4" s="52"/>
      <c r="AE4" s="6">
        <v>8</v>
      </c>
      <c r="AF4" s="6">
        <v>7</v>
      </c>
      <c r="AG4" s="6">
        <v>5</v>
      </c>
      <c r="AH4" s="6">
        <v>1</v>
      </c>
      <c r="AI4" s="6">
        <v>10</v>
      </c>
      <c r="AJ4" s="6">
        <v>3</v>
      </c>
      <c r="AK4" s="6"/>
      <c r="AL4" s="6"/>
      <c r="AM4" s="6"/>
      <c r="AN4" s="6"/>
      <c r="AO4" s="52"/>
      <c r="AP4" s="52"/>
      <c r="AQ4" s="52"/>
      <c r="AR4" s="52"/>
      <c r="AS4" s="52"/>
      <c r="AT4" s="52"/>
      <c r="AU4" s="52"/>
      <c r="AV4" s="52"/>
    </row>
    <row r="5" spans="1:48" x14ac:dyDescent="0.25">
      <c r="A5" s="52"/>
      <c r="B5" s="55" t="s">
        <v>52</v>
      </c>
      <c r="C5" s="52">
        <v>4</v>
      </c>
      <c r="D5" s="52"/>
      <c r="E5" s="103"/>
      <c r="F5" s="43">
        <v>8</v>
      </c>
      <c r="G5" s="7"/>
      <c r="H5" s="7"/>
      <c r="I5" s="7">
        <v>1</v>
      </c>
      <c r="J5" s="7">
        <v>7</v>
      </c>
      <c r="K5" s="7">
        <v>3</v>
      </c>
      <c r="L5" s="7"/>
      <c r="M5" s="7"/>
      <c r="N5" s="7"/>
      <c r="O5" s="7"/>
      <c r="P5" s="52"/>
      <c r="Q5" s="52"/>
      <c r="R5" s="52"/>
      <c r="S5" s="7"/>
      <c r="T5" s="7"/>
      <c r="U5" s="7">
        <v>9</v>
      </c>
      <c r="V5" s="7"/>
      <c r="W5" s="7">
        <v>4</v>
      </c>
      <c r="X5" s="7"/>
      <c r="Y5" s="7"/>
      <c r="Z5" s="7"/>
      <c r="AA5" s="7"/>
      <c r="AB5" s="7"/>
      <c r="AC5" s="52"/>
      <c r="AD5" s="52"/>
      <c r="AE5" s="7">
        <v>4</v>
      </c>
      <c r="AF5" s="7"/>
      <c r="AG5" s="7">
        <v>9</v>
      </c>
      <c r="AH5" s="7"/>
      <c r="AI5" s="7"/>
      <c r="AJ5" s="7"/>
      <c r="AK5" s="7"/>
      <c r="AL5" s="7"/>
      <c r="AM5" s="7"/>
      <c r="AN5" s="7"/>
      <c r="AO5" s="52"/>
      <c r="AP5" s="52"/>
      <c r="AQ5" s="52"/>
      <c r="AR5" s="52"/>
      <c r="AS5" s="52"/>
      <c r="AT5" s="52"/>
      <c r="AU5" s="52"/>
      <c r="AV5" s="52"/>
    </row>
    <row r="6" spans="1:48" x14ac:dyDescent="0.25">
      <c r="A6" s="52"/>
      <c r="B6" s="52"/>
      <c r="C6" s="52"/>
      <c r="D6" s="52"/>
      <c r="E6" s="103"/>
      <c r="F6" s="43"/>
      <c r="G6" s="7"/>
      <c r="H6" s="7"/>
      <c r="I6" s="7"/>
      <c r="J6" s="7"/>
      <c r="K6" s="7"/>
      <c r="L6" s="7"/>
      <c r="M6" s="7"/>
      <c r="N6" s="7"/>
      <c r="O6" s="7"/>
      <c r="P6" s="52"/>
      <c r="Q6" s="52"/>
      <c r="R6" s="52"/>
      <c r="S6" s="7"/>
      <c r="T6" s="7"/>
      <c r="U6" s="7"/>
      <c r="V6" s="7"/>
      <c r="W6" s="7">
        <v>2</v>
      </c>
      <c r="X6" s="7"/>
      <c r="Y6" s="7"/>
      <c r="Z6" s="7"/>
      <c r="AA6" s="7"/>
      <c r="AB6" s="7"/>
      <c r="AC6" s="52"/>
      <c r="AD6" s="52"/>
      <c r="AE6" s="7">
        <v>2</v>
      </c>
      <c r="AF6" s="7"/>
      <c r="AG6" s="7"/>
      <c r="AH6" s="7"/>
      <c r="AI6" s="7"/>
      <c r="AJ6" s="7"/>
      <c r="AK6" s="7"/>
      <c r="AL6" s="7"/>
      <c r="AM6" s="7"/>
      <c r="AN6" s="7"/>
      <c r="AO6" s="52"/>
      <c r="AP6" s="52"/>
      <c r="AQ6" s="52"/>
      <c r="AR6" s="52"/>
      <c r="AS6" s="52"/>
      <c r="AT6" s="52"/>
      <c r="AU6" s="52"/>
      <c r="AV6" s="52"/>
    </row>
    <row r="7" spans="1:48" x14ac:dyDescent="0.25">
      <c r="A7" s="52"/>
      <c r="B7" s="52"/>
      <c r="C7" s="52"/>
      <c r="D7" s="52"/>
      <c r="E7" s="103"/>
      <c r="F7" s="43"/>
      <c r="G7" s="7"/>
      <c r="H7" s="7"/>
      <c r="I7" s="7"/>
      <c r="J7" s="7"/>
      <c r="K7" s="7"/>
      <c r="L7" s="7"/>
      <c r="M7" s="7"/>
      <c r="N7" s="7"/>
      <c r="O7" s="7"/>
      <c r="P7" s="52"/>
      <c r="Q7" s="52"/>
      <c r="R7" s="52"/>
      <c r="S7" s="7"/>
      <c r="T7" s="7"/>
      <c r="U7" s="7"/>
      <c r="V7" s="7"/>
      <c r="W7" s="7">
        <v>6</v>
      </c>
      <c r="X7" s="7"/>
      <c r="Y7" s="7"/>
      <c r="Z7" s="7"/>
      <c r="AA7" s="7"/>
      <c r="AB7" s="7"/>
      <c r="AC7" s="52"/>
      <c r="AD7" s="52"/>
      <c r="AE7" s="7">
        <v>6</v>
      </c>
      <c r="AF7" s="7"/>
      <c r="AG7" s="7"/>
      <c r="AH7" s="7"/>
      <c r="AI7" s="7"/>
      <c r="AJ7" s="7"/>
      <c r="AK7" s="7"/>
      <c r="AL7" s="7"/>
      <c r="AM7" s="7"/>
      <c r="AN7" s="7"/>
      <c r="AO7" s="52"/>
      <c r="AP7" s="52"/>
      <c r="AQ7" s="52"/>
      <c r="AR7" s="52"/>
      <c r="AS7" s="52"/>
      <c r="AT7" s="52"/>
      <c r="AU7" s="52"/>
      <c r="AV7" s="52"/>
    </row>
    <row r="8" spans="1:48" x14ac:dyDescent="0.25">
      <c r="A8" s="52"/>
      <c r="B8" s="52"/>
      <c r="C8" s="52"/>
      <c r="D8" s="52"/>
      <c r="E8" s="103"/>
      <c r="F8" s="43"/>
      <c r="G8" s="7"/>
      <c r="H8" s="7"/>
      <c r="I8" s="7"/>
      <c r="J8" s="7"/>
      <c r="K8" s="7"/>
      <c r="L8" s="7"/>
      <c r="M8" s="7"/>
      <c r="N8" s="7"/>
      <c r="O8" s="7"/>
      <c r="P8" s="52"/>
      <c r="Q8" s="52"/>
      <c r="R8" s="52"/>
      <c r="S8" s="7"/>
      <c r="T8" s="7"/>
      <c r="U8" s="7"/>
      <c r="V8" s="7"/>
      <c r="W8" s="7"/>
      <c r="X8" s="7"/>
      <c r="Y8" s="7"/>
      <c r="Z8" s="7"/>
      <c r="AA8" s="7"/>
      <c r="AB8" s="7"/>
      <c r="AC8" s="52"/>
      <c r="AD8" s="52"/>
      <c r="AE8" s="7"/>
      <c r="AF8" s="7"/>
      <c r="AG8" s="7"/>
      <c r="AH8" s="7"/>
      <c r="AI8" s="7"/>
      <c r="AJ8" s="7"/>
      <c r="AK8" s="7"/>
      <c r="AL8" s="7"/>
      <c r="AM8" s="7"/>
      <c r="AN8" s="7"/>
      <c r="AO8" s="52"/>
      <c r="AP8" s="52"/>
      <c r="AQ8" s="52"/>
      <c r="AR8" s="52"/>
      <c r="AS8" s="52"/>
      <c r="AT8" s="52"/>
      <c r="AU8" s="52"/>
      <c r="AV8" s="52"/>
    </row>
    <row r="9" spans="1:48" x14ac:dyDescent="0.25">
      <c r="A9" s="52"/>
      <c r="B9" s="52"/>
      <c r="C9" s="52"/>
      <c r="D9" s="52"/>
      <c r="E9" s="103"/>
      <c r="F9" s="43"/>
      <c r="G9" s="7"/>
      <c r="H9" s="7"/>
      <c r="I9" s="7"/>
      <c r="J9" s="7"/>
      <c r="K9" s="7"/>
      <c r="L9" s="7"/>
      <c r="M9" s="7"/>
      <c r="N9" s="7"/>
      <c r="O9" s="7"/>
      <c r="P9" s="52"/>
      <c r="Q9" s="52"/>
      <c r="R9" s="52"/>
      <c r="S9" s="7"/>
      <c r="T9" s="7"/>
      <c r="U9" s="7"/>
      <c r="V9" s="7"/>
      <c r="W9" s="7"/>
      <c r="X9" s="7"/>
      <c r="Y9" s="7"/>
      <c r="Z9" s="7"/>
      <c r="AA9" s="7"/>
      <c r="AB9" s="7"/>
      <c r="AC9" s="52"/>
      <c r="AD9" s="52"/>
      <c r="AE9" s="7"/>
      <c r="AF9" s="7"/>
      <c r="AG9" s="7"/>
      <c r="AH9" s="7"/>
      <c r="AI9" s="7"/>
      <c r="AJ9" s="7"/>
      <c r="AK9" s="7"/>
      <c r="AL9" s="7"/>
      <c r="AM9" s="7"/>
      <c r="AN9" s="7"/>
      <c r="AO9" s="52"/>
      <c r="AP9" s="52"/>
      <c r="AQ9" s="52"/>
      <c r="AR9" s="52"/>
      <c r="AS9" s="52"/>
      <c r="AT9" s="52"/>
      <c r="AU9" s="52"/>
      <c r="AV9" s="52"/>
    </row>
    <row r="10" spans="1:48" x14ac:dyDescent="0.25">
      <c r="A10" s="52"/>
      <c r="B10" s="52"/>
      <c r="C10" s="52"/>
      <c r="D10" s="52"/>
      <c r="E10" s="103"/>
      <c r="F10" s="43"/>
      <c r="G10" s="7"/>
      <c r="H10" s="7"/>
      <c r="I10" s="7"/>
      <c r="J10" s="7"/>
      <c r="K10" s="7"/>
      <c r="L10" s="7"/>
      <c r="M10" s="7"/>
      <c r="N10" s="7"/>
      <c r="O10" s="7"/>
      <c r="P10" s="52"/>
      <c r="Q10" s="52"/>
      <c r="R10" s="52"/>
      <c r="S10" s="7"/>
      <c r="T10" s="7"/>
      <c r="U10" s="7"/>
      <c r="V10" s="7"/>
      <c r="W10" s="7"/>
      <c r="X10" s="7"/>
      <c r="Y10" s="7"/>
      <c r="Z10" s="7"/>
      <c r="AA10" s="7"/>
      <c r="AB10" s="7"/>
      <c r="AC10" s="52"/>
      <c r="AD10" s="52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52"/>
      <c r="AP10" s="52"/>
      <c r="AQ10" s="52"/>
      <c r="AR10" s="52"/>
      <c r="AS10" s="52"/>
      <c r="AT10" s="52"/>
      <c r="AU10" s="52"/>
      <c r="AV10" s="52"/>
    </row>
    <row r="11" spans="1:48" x14ac:dyDescent="0.25">
      <c r="A11" s="52"/>
      <c r="B11" s="52"/>
      <c r="C11" s="52"/>
      <c r="D11" s="52"/>
      <c r="E11" s="103"/>
      <c r="F11" s="43"/>
      <c r="G11" s="7"/>
      <c r="H11" s="7"/>
      <c r="I11" s="7"/>
      <c r="J11" s="7"/>
      <c r="K11" s="7"/>
      <c r="L11" s="7"/>
      <c r="M11" s="7"/>
      <c r="N11" s="7"/>
      <c r="O11" s="7"/>
      <c r="P11" s="52"/>
      <c r="Q11" s="52"/>
      <c r="R11" s="52"/>
      <c r="S11" s="7"/>
      <c r="T11" s="7"/>
      <c r="U11" s="7"/>
      <c r="V11" s="7"/>
      <c r="W11" s="7"/>
      <c r="X11" s="7"/>
      <c r="Y11" s="7"/>
      <c r="Z11" s="7"/>
      <c r="AA11" s="7"/>
      <c r="AB11" s="7"/>
      <c r="AC11" s="52"/>
      <c r="AD11" s="52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52"/>
      <c r="AP11" s="52"/>
      <c r="AQ11" s="52"/>
      <c r="AR11" s="52"/>
      <c r="AS11" s="52"/>
      <c r="AT11" s="52"/>
      <c r="AU11" s="52"/>
      <c r="AV11" s="52"/>
    </row>
    <row r="12" spans="1:48" x14ac:dyDescent="0.25">
      <c r="A12" s="52"/>
      <c r="B12" s="52"/>
      <c r="C12" s="52"/>
      <c r="D12" s="52"/>
      <c r="E12" s="103"/>
      <c r="F12" s="43"/>
      <c r="G12" s="7"/>
      <c r="H12" s="7"/>
      <c r="I12" s="7"/>
      <c r="J12" s="7"/>
      <c r="K12" s="7"/>
      <c r="L12" s="7"/>
      <c r="M12" s="7"/>
      <c r="N12" s="7"/>
      <c r="O12" s="7"/>
      <c r="P12" s="52"/>
      <c r="Q12" s="52"/>
      <c r="R12" s="52"/>
      <c r="S12" s="7"/>
      <c r="T12" s="7"/>
      <c r="U12" s="7"/>
      <c r="V12" s="7"/>
      <c r="W12" s="7"/>
      <c r="X12" s="7"/>
      <c r="Y12" s="7"/>
      <c r="Z12" s="7"/>
      <c r="AA12" s="7"/>
      <c r="AB12" s="7"/>
      <c r="AC12" s="52"/>
      <c r="AD12" s="52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52"/>
      <c r="AP12" s="52"/>
      <c r="AQ12" s="52"/>
      <c r="AR12" s="52"/>
      <c r="AS12" s="52"/>
      <c r="AT12" s="52"/>
      <c r="AU12" s="52"/>
      <c r="AV12" s="52"/>
    </row>
    <row r="13" spans="1:48" x14ac:dyDescent="0.25">
      <c r="A13" s="52"/>
      <c r="B13" s="52"/>
      <c r="C13" s="52"/>
      <c r="D13" s="52"/>
      <c r="E13" s="104"/>
      <c r="F13" s="44"/>
      <c r="G13" s="8"/>
      <c r="H13" s="8"/>
      <c r="I13" s="8"/>
      <c r="J13" s="8"/>
      <c r="K13" s="8"/>
      <c r="L13" s="8"/>
      <c r="M13" s="8"/>
      <c r="N13" s="8"/>
      <c r="O13" s="8"/>
      <c r="P13" s="52"/>
      <c r="Q13" s="52"/>
      <c r="R13" s="52"/>
      <c r="S13" s="8"/>
      <c r="T13" s="8"/>
      <c r="U13" s="8"/>
      <c r="V13" s="8"/>
      <c r="W13" s="8"/>
      <c r="X13" s="8"/>
      <c r="Y13" s="8"/>
      <c r="Z13" s="8"/>
      <c r="AA13" s="8"/>
      <c r="AB13" s="8"/>
      <c r="AC13" s="52"/>
      <c r="AD13" s="52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52"/>
      <c r="AP13" s="52"/>
      <c r="AQ13" s="52"/>
      <c r="AR13" s="52"/>
      <c r="AS13" s="52"/>
      <c r="AT13" s="52"/>
      <c r="AU13" s="52"/>
      <c r="AV13" s="52"/>
    </row>
    <row r="14" spans="1:48" x14ac:dyDescent="0.25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</row>
    <row r="15" spans="1:48" ht="15.75" thickBot="1" x14ac:dyDescent="0.3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</row>
    <row r="16" spans="1:48" ht="15.75" thickTop="1" x14ac:dyDescent="0.25">
      <c r="A16" s="52"/>
      <c r="C16" s="52"/>
      <c r="D16" s="52"/>
      <c r="F16" s="65"/>
      <c r="G16" s="72">
        <v>1</v>
      </c>
      <c r="H16" s="73"/>
      <c r="I16" s="66"/>
      <c r="J16" s="66"/>
      <c r="K16" s="66"/>
      <c r="L16" s="72">
        <v>3</v>
      </c>
      <c r="M16" s="67"/>
      <c r="N16" s="52"/>
      <c r="O16" s="52" t="s">
        <v>76</v>
      </c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</row>
    <row r="17" spans="1:48" x14ac:dyDescent="0.25">
      <c r="A17" s="52"/>
      <c r="B17" s="52"/>
      <c r="C17" s="52"/>
      <c r="D17" s="52"/>
      <c r="E17" s="52"/>
      <c r="F17" s="68"/>
      <c r="G17" s="69"/>
      <c r="H17" s="77"/>
      <c r="I17" s="78"/>
      <c r="J17" s="78">
        <v>1</v>
      </c>
      <c r="K17" s="79"/>
      <c r="L17" s="52"/>
      <c r="M17" s="52"/>
      <c r="N17" s="68"/>
      <c r="O17" s="86" t="s">
        <v>77</v>
      </c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</row>
    <row r="18" spans="1:48" x14ac:dyDescent="0.25">
      <c r="A18" s="52"/>
      <c r="B18" s="52"/>
      <c r="C18" s="52"/>
      <c r="D18" s="52"/>
      <c r="E18" s="52"/>
      <c r="F18" s="68"/>
      <c r="G18" s="69"/>
      <c r="H18" s="80">
        <v>1</v>
      </c>
      <c r="I18" s="81"/>
      <c r="J18" s="81"/>
      <c r="K18" s="82"/>
      <c r="L18" s="52"/>
      <c r="M18" s="52"/>
      <c r="N18" s="68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</row>
    <row r="19" spans="1:48" x14ac:dyDescent="0.25">
      <c r="A19" s="52"/>
      <c r="B19" s="52"/>
      <c r="C19" s="52"/>
      <c r="D19" s="52"/>
      <c r="E19" s="69"/>
      <c r="F19" s="68"/>
      <c r="G19" s="69"/>
      <c r="H19" s="80"/>
      <c r="I19" s="81"/>
      <c r="J19" s="81"/>
      <c r="K19" s="82">
        <v>1</v>
      </c>
      <c r="L19" s="52"/>
      <c r="M19" s="52"/>
      <c r="N19" s="68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</row>
    <row r="20" spans="1:48" x14ac:dyDescent="0.25">
      <c r="A20" s="52"/>
      <c r="B20" s="52"/>
      <c r="C20" s="52"/>
      <c r="D20" s="52"/>
      <c r="E20" s="52"/>
      <c r="F20" s="68"/>
      <c r="G20" s="74"/>
      <c r="H20" s="83"/>
      <c r="I20" s="84">
        <v>1</v>
      </c>
      <c r="J20" s="84"/>
      <c r="K20" s="85"/>
      <c r="L20" s="74"/>
      <c r="M20" s="43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</row>
    <row r="21" spans="1:48" ht="15.75" thickBot="1" x14ac:dyDescent="0.3">
      <c r="A21" s="52"/>
      <c r="B21" s="52"/>
      <c r="C21" s="52"/>
      <c r="D21" s="52"/>
      <c r="E21" s="52"/>
      <c r="F21" s="70"/>
      <c r="G21" s="75">
        <v>2</v>
      </c>
      <c r="H21" s="76"/>
      <c r="I21" s="71"/>
      <c r="J21" s="71"/>
      <c r="K21" s="71"/>
      <c r="L21" s="75">
        <v>4</v>
      </c>
      <c r="M21" s="44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</row>
    <row r="22" spans="1:48" ht="15.75" thickTop="1" x14ac:dyDescent="0.2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</row>
    <row r="23" spans="1:48" x14ac:dyDescent="0.2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</row>
    <row r="24" spans="1:48" x14ac:dyDescent="0.25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</row>
    <row r="25" spans="1:48" x14ac:dyDescent="0.25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</row>
    <row r="26" spans="1:48" x14ac:dyDescent="0.25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</row>
    <row r="27" spans="1:48" x14ac:dyDescent="0.25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</row>
    <row r="28" spans="1:48" x14ac:dyDescent="0.2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</row>
  </sheetData>
  <mergeCells count="4">
    <mergeCell ref="F2:O2"/>
    <mergeCell ref="S2:AB2"/>
    <mergeCell ref="E4:E13"/>
    <mergeCell ref="AE2:AN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0</xdr:col>
                    <xdr:colOff>304800</xdr:colOff>
                    <xdr:row>5</xdr:row>
                    <xdr:rowOff>142875</xdr:rowOff>
                  </from>
                  <to>
                    <xdr:col>1</xdr:col>
                    <xdr:colOff>1524000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RESUL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1</xdr:col>
                    <xdr:colOff>1524000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X156"/>
  <sheetViews>
    <sheetView topLeftCell="A19" zoomScale="80" zoomScaleNormal="80" workbookViewId="0">
      <selection activeCell="AA28" sqref="AA28"/>
    </sheetView>
  </sheetViews>
  <sheetFormatPr baseColWidth="10" defaultRowHeight="15" x14ac:dyDescent="0.25"/>
  <cols>
    <col min="1" max="1" width="8.5703125" bestFit="1" customWidth="1"/>
    <col min="2" max="2" width="5.140625" bestFit="1" customWidth="1"/>
    <col min="3" max="10" width="4.28515625" bestFit="1" customWidth="1"/>
    <col min="11" max="11" width="5.28515625" bestFit="1" customWidth="1"/>
    <col min="12" max="12" width="5.85546875" bestFit="1" customWidth="1"/>
    <col min="13" max="13" width="7" bestFit="1" customWidth="1"/>
    <col min="14" max="103" width="5" customWidth="1"/>
  </cols>
  <sheetData>
    <row r="1" spans="1:26" x14ac:dyDescent="0.25">
      <c r="A1" s="35" t="s">
        <v>40</v>
      </c>
      <c r="B1" s="38">
        <f>MAX(CJ)</f>
        <v>12</v>
      </c>
      <c r="Y1" s="107" t="s">
        <v>48</v>
      </c>
      <c r="Z1" s="108"/>
    </row>
    <row r="2" spans="1:26" x14ac:dyDescent="0.25">
      <c r="A2" s="36" t="s">
        <v>0</v>
      </c>
      <c r="B2" s="39">
        <v>5</v>
      </c>
      <c r="Y2" s="111" t="s">
        <v>80</v>
      </c>
      <c r="Z2" s="112"/>
    </row>
    <row r="3" spans="1:26" x14ac:dyDescent="0.25">
      <c r="A3" s="37" t="s">
        <v>1</v>
      </c>
      <c r="B3" s="38">
        <f>2*COUNT(PALETTE)+SUM(D)+COUNT(TRAILER)*TC</f>
        <v>70</v>
      </c>
      <c r="Y3" s="109" t="s">
        <v>67</v>
      </c>
      <c r="Z3" s="110"/>
    </row>
    <row r="4" spans="1:26" x14ac:dyDescent="0.25">
      <c r="B4" s="64"/>
      <c r="C4" s="64"/>
      <c r="D4" s="64"/>
      <c r="E4" s="64"/>
      <c r="F4" s="64"/>
      <c r="G4" s="64"/>
      <c r="H4" s="64"/>
      <c r="I4" s="64"/>
      <c r="J4" s="64"/>
      <c r="K4" s="64"/>
      <c r="M4" s="35" t="s">
        <v>14</v>
      </c>
      <c r="Y4" s="105" t="s">
        <v>79</v>
      </c>
      <c r="Z4" s="106"/>
    </row>
    <row r="5" spans="1:26" x14ac:dyDescent="0.25">
      <c r="A5" s="35" t="s">
        <v>4</v>
      </c>
      <c r="B5" s="22">
        <v>1</v>
      </c>
      <c r="C5" s="22">
        <v>2</v>
      </c>
      <c r="D5" s="22">
        <v>3</v>
      </c>
      <c r="E5" s="22">
        <v>4</v>
      </c>
      <c r="F5" s="22">
        <v>5</v>
      </c>
      <c r="G5" s="22">
        <v>6</v>
      </c>
      <c r="H5" s="19"/>
      <c r="I5" s="19"/>
      <c r="J5" s="19"/>
      <c r="K5" s="20"/>
      <c r="M5" s="37" t="s">
        <v>66</v>
      </c>
      <c r="N5" s="21">
        <v>1</v>
      </c>
      <c r="O5" s="22">
        <v>2</v>
      </c>
      <c r="P5" s="22">
        <v>3</v>
      </c>
      <c r="Q5" s="22">
        <v>4</v>
      </c>
      <c r="R5" s="19"/>
      <c r="S5" s="19"/>
      <c r="T5" s="19"/>
      <c r="U5" s="19"/>
      <c r="V5" s="19"/>
      <c r="W5" s="20"/>
    </row>
    <row r="6" spans="1:26" x14ac:dyDescent="0.25">
      <c r="A6" s="36" t="s">
        <v>2</v>
      </c>
      <c r="B6" s="24">
        <v>0</v>
      </c>
      <c r="C6" s="24">
        <v>0</v>
      </c>
      <c r="D6" s="24">
        <v>0</v>
      </c>
      <c r="E6" s="24">
        <v>0</v>
      </c>
      <c r="F6" s="24">
        <v>0</v>
      </c>
      <c r="G6" s="24">
        <v>0</v>
      </c>
      <c r="H6" s="19">
        <v>0</v>
      </c>
      <c r="I6" s="19">
        <v>0</v>
      </c>
      <c r="J6" s="19">
        <v>0</v>
      </c>
      <c r="K6" s="20">
        <v>0</v>
      </c>
      <c r="M6" s="32" t="s">
        <v>15</v>
      </c>
      <c r="N6" s="26">
        <v>0</v>
      </c>
      <c r="O6" s="26">
        <v>1</v>
      </c>
      <c r="P6" s="26">
        <v>2</v>
      </c>
      <c r="Q6" s="26">
        <v>3</v>
      </c>
      <c r="R6" s="13"/>
      <c r="S6" s="13"/>
      <c r="T6" s="13"/>
      <c r="U6" s="13"/>
      <c r="V6" s="13"/>
      <c r="W6" s="14"/>
    </row>
    <row r="7" spans="1:26" x14ac:dyDescent="0.25">
      <c r="A7" s="36" t="s">
        <v>3</v>
      </c>
      <c r="B7" s="24">
        <v>7</v>
      </c>
      <c r="C7" s="24">
        <v>50</v>
      </c>
      <c r="D7" s="24">
        <v>24</v>
      </c>
      <c r="E7" s="24">
        <v>42</v>
      </c>
      <c r="F7" s="24">
        <v>43</v>
      </c>
      <c r="G7" s="24">
        <v>21</v>
      </c>
      <c r="H7" s="19">
        <v>4</v>
      </c>
      <c r="I7" s="19">
        <v>23</v>
      </c>
      <c r="J7" s="19">
        <v>40</v>
      </c>
      <c r="K7" s="20">
        <v>45</v>
      </c>
      <c r="M7" s="33" t="s">
        <v>16</v>
      </c>
      <c r="N7" s="26">
        <v>1</v>
      </c>
      <c r="O7" s="26">
        <v>0</v>
      </c>
      <c r="P7" s="26">
        <v>1</v>
      </c>
      <c r="Q7" s="26">
        <v>2</v>
      </c>
      <c r="R7" s="13"/>
      <c r="S7" s="13"/>
      <c r="T7" s="13"/>
      <c r="U7" s="13"/>
      <c r="V7" s="13"/>
      <c r="W7" s="14"/>
    </row>
    <row r="8" spans="1:26" x14ac:dyDescent="0.25">
      <c r="A8" s="36" t="s">
        <v>38</v>
      </c>
      <c r="B8" s="25">
        <v>0</v>
      </c>
      <c r="C8" s="25">
        <v>0</v>
      </c>
      <c r="D8" s="25">
        <v>9</v>
      </c>
      <c r="E8" s="25">
        <v>0</v>
      </c>
      <c r="F8" s="25">
        <v>0</v>
      </c>
      <c r="G8" s="25">
        <v>8</v>
      </c>
      <c r="H8" s="19"/>
      <c r="I8" s="19"/>
      <c r="J8" s="19"/>
      <c r="K8" s="20"/>
      <c r="M8" s="32" t="s">
        <v>58</v>
      </c>
      <c r="N8" s="26">
        <v>2</v>
      </c>
      <c r="O8" s="26">
        <v>1</v>
      </c>
      <c r="P8" s="26">
        <v>0</v>
      </c>
      <c r="Q8" s="26">
        <v>1</v>
      </c>
      <c r="R8" s="13"/>
      <c r="S8" s="13"/>
      <c r="T8" s="13"/>
      <c r="U8" s="13"/>
      <c r="V8" s="13"/>
      <c r="W8" s="14"/>
    </row>
    <row r="9" spans="1:26" x14ac:dyDescent="0.25">
      <c r="A9" s="37" t="s">
        <v>39</v>
      </c>
      <c r="B9" s="25">
        <v>7</v>
      </c>
      <c r="C9" s="25">
        <v>6</v>
      </c>
      <c r="D9" s="25">
        <v>12</v>
      </c>
      <c r="E9" s="25">
        <v>3</v>
      </c>
      <c r="F9" s="25">
        <v>4</v>
      </c>
      <c r="G9" s="25">
        <v>12</v>
      </c>
      <c r="H9" s="19"/>
      <c r="I9" s="19"/>
      <c r="J9" s="19"/>
      <c r="K9" s="20"/>
      <c r="M9" s="33" t="s">
        <v>59</v>
      </c>
      <c r="N9" s="26">
        <v>3</v>
      </c>
      <c r="O9" s="26">
        <v>2</v>
      </c>
      <c r="P9" s="26">
        <v>1</v>
      </c>
      <c r="Q9" s="26">
        <v>0</v>
      </c>
      <c r="R9" s="13"/>
      <c r="S9" s="13"/>
      <c r="T9" s="13"/>
      <c r="U9" s="13"/>
      <c r="V9" s="13"/>
      <c r="W9" s="14"/>
    </row>
    <row r="10" spans="1:26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M10" s="32" t="s">
        <v>60</v>
      </c>
      <c r="N10" s="13"/>
      <c r="O10" s="13"/>
      <c r="P10" s="13"/>
      <c r="Q10" s="13"/>
      <c r="R10" s="13"/>
      <c r="S10" s="13"/>
      <c r="T10" s="13"/>
      <c r="U10" s="13"/>
      <c r="V10" s="13"/>
      <c r="W10" s="14"/>
    </row>
    <row r="11" spans="1:26" x14ac:dyDescent="0.25">
      <c r="A11" s="35" t="s">
        <v>5</v>
      </c>
      <c r="B11" s="22">
        <v>1</v>
      </c>
      <c r="C11" s="22">
        <v>2</v>
      </c>
      <c r="D11" s="22">
        <v>3</v>
      </c>
      <c r="E11" s="22">
        <v>4</v>
      </c>
      <c r="F11" s="22">
        <v>5</v>
      </c>
      <c r="G11" s="22">
        <v>6</v>
      </c>
      <c r="H11" s="22">
        <v>7</v>
      </c>
      <c r="I11" s="22">
        <v>8</v>
      </c>
      <c r="J11" s="22">
        <v>9</v>
      </c>
      <c r="K11" s="56">
        <v>10</v>
      </c>
      <c r="M11" s="33" t="s">
        <v>61</v>
      </c>
      <c r="N11" s="13"/>
      <c r="O11" s="13"/>
      <c r="P11" s="13"/>
      <c r="Q11" s="13"/>
      <c r="R11" s="13"/>
      <c r="S11" s="13"/>
      <c r="T11" s="13"/>
      <c r="U11" s="13"/>
      <c r="V11" s="13"/>
      <c r="W11" s="14"/>
    </row>
    <row r="12" spans="1:26" x14ac:dyDescent="0.25">
      <c r="A12" s="36" t="s">
        <v>6</v>
      </c>
      <c r="B12" s="22">
        <v>2</v>
      </c>
      <c r="C12" s="22">
        <v>1</v>
      </c>
      <c r="D12" s="22">
        <v>2</v>
      </c>
      <c r="E12" s="22">
        <v>1</v>
      </c>
      <c r="F12" s="22">
        <v>1</v>
      </c>
      <c r="G12" s="22">
        <v>1</v>
      </c>
      <c r="H12" s="22">
        <v>2</v>
      </c>
      <c r="I12" s="22">
        <v>2</v>
      </c>
      <c r="J12" s="22">
        <v>1</v>
      </c>
      <c r="K12" s="56">
        <v>1</v>
      </c>
      <c r="M12" s="32" t="s">
        <v>62</v>
      </c>
      <c r="N12" s="13"/>
      <c r="O12" s="13"/>
      <c r="P12" s="13"/>
      <c r="Q12" s="13"/>
      <c r="R12" s="13"/>
      <c r="S12" s="13"/>
      <c r="T12" s="13"/>
      <c r="U12" s="13"/>
      <c r="V12" s="13"/>
      <c r="W12" s="14"/>
    </row>
    <row r="13" spans="1:26" x14ac:dyDescent="0.25">
      <c r="A13" s="36" t="s">
        <v>41</v>
      </c>
      <c r="B13" s="25">
        <v>2</v>
      </c>
      <c r="C13" s="25">
        <v>1</v>
      </c>
      <c r="D13" s="25">
        <v>11</v>
      </c>
      <c r="E13" s="25">
        <v>1</v>
      </c>
      <c r="F13" s="25">
        <v>10</v>
      </c>
      <c r="G13" s="25">
        <v>1</v>
      </c>
      <c r="H13" s="25">
        <v>3</v>
      </c>
      <c r="I13" s="25">
        <v>2</v>
      </c>
      <c r="J13" s="25">
        <v>9</v>
      </c>
      <c r="K13" s="57">
        <v>2</v>
      </c>
      <c r="M13" s="33" t="s">
        <v>63</v>
      </c>
      <c r="N13" s="13"/>
      <c r="O13" s="13"/>
      <c r="P13" s="13"/>
      <c r="Q13" s="13"/>
      <c r="R13" s="13"/>
      <c r="S13" s="13"/>
      <c r="T13" s="13"/>
      <c r="U13" s="13"/>
      <c r="V13" s="13"/>
      <c r="W13" s="14"/>
    </row>
    <row r="14" spans="1:26" x14ac:dyDescent="0.25">
      <c r="A14" s="36" t="s">
        <v>42</v>
      </c>
      <c r="B14" s="25">
        <v>2</v>
      </c>
      <c r="C14" s="25">
        <v>3</v>
      </c>
      <c r="D14" s="25">
        <v>11</v>
      </c>
      <c r="E14" s="25">
        <v>3</v>
      </c>
      <c r="F14" s="25">
        <v>10</v>
      </c>
      <c r="G14" s="25">
        <v>3</v>
      </c>
      <c r="H14" s="25">
        <v>5</v>
      </c>
      <c r="I14" s="25">
        <v>3</v>
      </c>
      <c r="J14" s="25">
        <v>11</v>
      </c>
      <c r="K14" s="57">
        <v>3</v>
      </c>
      <c r="M14" s="32" t="s">
        <v>64</v>
      </c>
      <c r="N14" s="13"/>
      <c r="O14" s="13"/>
      <c r="P14" s="13"/>
      <c r="Q14" s="13"/>
      <c r="R14" s="13"/>
      <c r="S14" s="13"/>
      <c r="T14" s="13"/>
      <c r="U14" s="13"/>
      <c r="V14" s="13"/>
      <c r="W14" s="14"/>
    </row>
    <row r="15" spans="1:26" x14ac:dyDescent="0.25">
      <c r="A15" s="37" t="s">
        <v>43</v>
      </c>
      <c r="B15" s="25">
        <v>3</v>
      </c>
      <c r="C15" s="25">
        <v>6</v>
      </c>
      <c r="D15" s="25">
        <v>12</v>
      </c>
      <c r="E15" s="25">
        <v>5</v>
      </c>
      <c r="F15" s="25">
        <v>11</v>
      </c>
      <c r="G15" s="25">
        <v>7</v>
      </c>
      <c r="H15" s="25">
        <v>6</v>
      </c>
      <c r="I15" s="25">
        <v>4</v>
      </c>
      <c r="J15" s="25">
        <v>12</v>
      </c>
      <c r="K15" s="57">
        <v>4</v>
      </c>
      <c r="M15" s="33" t="s">
        <v>65</v>
      </c>
      <c r="N15" s="16"/>
      <c r="O15" s="16"/>
      <c r="P15" s="16"/>
      <c r="Q15" s="16"/>
      <c r="R15" s="16"/>
      <c r="S15" s="16"/>
      <c r="T15" s="16"/>
      <c r="U15" s="16"/>
      <c r="V15" s="16"/>
      <c r="W15" s="17"/>
    </row>
    <row r="16" spans="1:26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N16" s="4"/>
      <c r="O16" s="4"/>
      <c r="P16" s="4"/>
      <c r="Q16" s="4"/>
      <c r="R16" s="4"/>
      <c r="S16" s="4"/>
      <c r="T16" s="4"/>
      <c r="U16" s="4"/>
      <c r="V16" s="4"/>
      <c r="W16" s="4"/>
    </row>
    <row r="17" spans="1:23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x14ac:dyDescent="0.25">
      <c r="A18" s="34" t="s">
        <v>7</v>
      </c>
      <c r="B18" s="18" t="s">
        <v>18</v>
      </c>
      <c r="C18" s="19" t="s">
        <v>19</v>
      </c>
      <c r="D18" s="19" t="s">
        <v>20</v>
      </c>
      <c r="E18" s="19" t="s">
        <v>21</v>
      </c>
      <c r="F18" s="19" t="s">
        <v>22</v>
      </c>
      <c r="G18" s="19" t="s">
        <v>23</v>
      </c>
      <c r="H18" s="19" t="s">
        <v>24</v>
      </c>
      <c r="I18" s="19" t="s">
        <v>25</v>
      </c>
      <c r="J18" s="19" t="s">
        <v>26</v>
      </c>
      <c r="K18" s="20" t="s">
        <v>27</v>
      </c>
      <c r="M18" s="34" t="s">
        <v>13</v>
      </c>
      <c r="N18" s="18" t="s">
        <v>18</v>
      </c>
      <c r="O18" s="19" t="s">
        <v>19</v>
      </c>
      <c r="P18" s="19" t="s">
        <v>20</v>
      </c>
      <c r="Q18" s="19" t="s">
        <v>21</v>
      </c>
      <c r="R18" s="19" t="s">
        <v>22</v>
      </c>
      <c r="S18" s="19" t="s">
        <v>23</v>
      </c>
      <c r="T18" s="19" t="s">
        <v>24</v>
      </c>
      <c r="U18" s="19" t="s">
        <v>25</v>
      </c>
      <c r="V18" s="19" t="s">
        <v>26</v>
      </c>
      <c r="W18" s="20" t="s">
        <v>27</v>
      </c>
    </row>
    <row r="19" spans="1:23" x14ac:dyDescent="0.25">
      <c r="A19" s="31" t="s">
        <v>8</v>
      </c>
      <c r="B19" s="23">
        <v>0</v>
      </c>
      <c r="C19" s="23">
        <v>0</v>
      </c>
      <c r="D19" s="23">
        <v>0</v>
      </c>
      <c r="E19" s="23">
        <v>0</v>
      </c>
      <c r="F19" s="23">
        <v>0</v>
      </c>
      <c r="G19" s="23">
        <v>1</v>
      </c>
      <c r="H19" s="23">
        <v>0</v>
      </c>
      <c r="I19" s="23">
        <v>1</v>
      </c>
      <c r="J19" s="23">
        <v>0</v>
      </c>
      <c r="K19" s="58">
        <v>0</v>
      </c>
      <c r="M19" s="31" t="s">
        <v>8</v>
      </c>
      <c r="N19" s="23">
        <v>0</v>
      </c>
      <c r="O19" s="23">
        <v>1</v>
      </c>
      <c r="P19" s="23">
        <v>0</v>
      </c>
      <c r="Q19" s="23">
        <v>1</v>
      </c>
      <c r="R19" s="23">
        <v>0</v>
      </c>
      <c r="S19" s="23">
        <v>1</v>
      </c>
      <c r="T19" s="23">
        <v>0</v>
      </c>
      <c r="U19" s="23">
        <v>1</v>
      </c>
      <c r="V19" s="23">
        <v>0</v>
      </c>
      <c r="W19" s="58">
        <v>0</v>
      </c>
    </row>
    <row r="20" spans="1:23" x14ac:dyDescent="0.25">
      <c r="A20" s="32" t="s">
        <v>9</v>
      </c>
      <c r="B20" s="23">
        <v>0</v>
      </c>
      <c r="C20" s="23">
        <v>1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  <c r="K20" s="58">
        <v>0</v>
      </c>
      <c r="M20" s="32" t="s">
        <v>9</v>
      </c>
      <c r="N20" s="23">
        <v>0</v>
      </c>
      <c r="O20" s="23">
        <v>0</v>
      </c>
      <c r="P20" s="23">
        <v>0</v>
      </c>
      <c r="Q20" s="23">
        <v>0</v>
      </c>
      <c r="R20" s="23">
        <v>0</v>
      </c>
      <c r="S20" s="23">
        <v>0</v>
      </c>
      <c r="T20" s="23">
        <v>1</v>
      </c>
      <c r="U20" s="23">
        <v>0</v>
      </c>
      <c r="V20" s="23">
        <v>0</v>
      </c>
      <c r="W20" s="58">
        <v>0</v>
      </c>
    </row>
    <row r="21" spans="1:23" x14ac:dyDescent="0.25">
      <c r="A21" s="32" t="s">
        <v>10</v>
      </c>
      <c r="B21" s="23">
        <v>0</v>
      </c>
      <c r="C21" s="23">
        <v>0</v>
      </c>
      <c r="D21" s="23">
        <v>0</v>
      </c>
      <c r="E21" s="23">
        <v>0</v>
      </c>
      <c r="F21" s="23">
        <v>1</v>
      </c>
      <c r="G21" s="23">
        <v>0</v>
      </c>
      <c r="H21" s="23">
        <v>0</v>
      </c>
      <c r="I21" s="23">
        <v>0</v>
      </c>
      <c r="J21" s="23">
        <v>0</v>
      </c>
      <c r="K21" s="58">
        <v>0</v>
      </c>
      <c r="M21" s="32" t="s">
        <v>10</v>
      </c>
      <c r="N21" s="23">
        <v>0</v>
      </c>
      <c r="O21" s="23">
        <v>0</v>
      </c>
      <c r="P21" s="23">
        <v>0</v>
      </c>
      <c r="Q21" s="23">
        <v>0</v>
      </c>
      <c r="R21" s="23">
        <v>1</v>
      </c>
      <c r="S21" s="23">
        <v>0</v>
      </c>
      <c r="T21" s="23">
        <v>0</v>
      </c>
      <c r="U21" s="23">
        <v>0</v>
      </c>
      <c r="V21" s="23">
        <v>1</v>
      </c>
      <c r="W21" s="58">
        <v>0</v>
      </c>
    </row>
    <row r="22" spans="1:23" x14ac:dyDescent="0.25">
      <c r="A22" s="32" t="s">
        <v>11</v>
      </c>
      <c r="B22" s="23">
        <v>1</v>
      </c>
      <c r="C22" s="23">
        <v>0</v>
      </c>
      <c r="D22" s="23">
        <v>0</v>
      </c>
      <c r="E22" s="23">
        <v>0</v>
      </c>
      <c r="F22" s="23">
        <v>0</v>
      </c>
      <c r="G22" s="23">
        <v>0</v>
      </c>
      <c r="H22" s="23">
        <v>0</v>
      </c>
      <c r="I22" s="23">
        <v>0</v>
      </c>
      <c r="J22" s="23">
        <v>0</v>
      </c>
      <c r="K22" s="58">
        <v>1</v>
      </c>
      <c r="M22" s="32" t="s">
        <v>11</v>
      </c>
      <c r="N22" s="23">
        <v>1</v>
      </c>
      <c r="O22" s="23">
        <v>0</v>
      </c>
      <c r="P22" s="23">
        <v>0</v>
      </c>
      <c r="Q22" s="23">
        <v>0</v>
      </c>
      <c r="R22" s="23">
        <v>0</v>
      </c>
      <c r="S22" s="23">
        <v>0</v>
      </c>
      <c r="T22" s="23">
        <v>0</v>
      </c>
      <c r="U22" s="23">
        <v>0</v>
      </c>
      <c r="V22" s="23">
        <v>0</v>
      </c>
      <c r="W22" s="58">
        <v>0</v>
      </c>
    </row>
    <row r="23" spans="1:23" x14ac:dyDescent="0.25">
      <c r="A23" s="32" t="s">
        <v>12</v>
      </c>
      <c r="B23" s="23">
        <v>0</v>
      </c>
      <c r="C23" s="23">
        <v>0</v>
      </c>
      <c r="D23" s="23">
        <v>0</v>
      </c>
      <c r="E23" s="23">
        <v>1</v>
      </c>
      <c r="F23" s="23">
        <v>0</v>
      </c>
      <c r="G23" s="23">
        <v>0</v>
      </c>
      <c r="H23" s="23">
        <v>1</v>
      </c>
      <c r="I23" s="23">
        <v>0</v>
      </c>
      <c r="J23" s="23">
        <v>0</v>
      </c>
      <c r="K23" s="58">
        <v>0</v>
      </c>
      <c r="M23" s="32" t="s">
        <v>12</v>
      </c>
      <c r="N23" s="23">
        <v>0</v>
      </c>
      <c r="O23" s="23">
        <v>0</v>
      </c>
      <c r="P23" s="23">
        <v>0</v>
      </c>
      <c r="Q23" s="23">
        <v>0</v>
      </c>
      <c r="R23" s="23">
        <v>0</v>
      </c>
      <c r="S23" s="23">
        <v>0</v>
      </c>
      <c r="T23" s="23">
        <v>0</v>
      </c>
      <c r="U23" s="23">
        <v>0</v>
      </c>
      <c r="V23" s="23">
        <v>0</v>
      </c>
      <c r="W23" s="58">
        <v>1</v>
      </c>
    </row>
    <row r="24" spans="1:23" x14ac:dyDescent="0.25">
      <c r="A24" s="32" t="s">
        <v>53</v>
      </c>
      <c r="B24" s="23">
        <v>0</v>
      </c>
      <c r="C24" s="23">
        <v>0</v>
      </c>
      <c r="D24" s="23">
        <v>1</v>
      </c>
      <c r="E24" s="23">
        <v>0</v>
      </c>
      <c r="F24" s="23">
        <v>0</v>
      </c>
      <c r="G24" s="23">
        <v>0</v>
      </c>
      <c r="H24" s="23">
        <v>0</v>
      </c>
      <c r="I24" s="23">
        <v>0</v>
      </c>
      <c r="J24" s="23">
        <v>1</v>
      </c>
      <c r="K24" s="58">
        <v>0</v>
      </c>
      <c r="M24" s="32" t="s">
        <v>53</v>
      </c>
      <c r="N24" s="23">
        <v>0</v>
      </c>
      <c r="O24" s="23">
        <v>0</v>
      </c>
      <c r="P24" s="23">
        <v>1</v>
      </c>
      <c r="Q24" s="23">
        <v>0</v>
      </c>
      <c r="R24" s="23">
        <v>0</v>
      </c>
      <c r="S24" s="23">
        <v>0</v>
      </c>
      <c r="T24" s="23">
        <v>0</v>
      </c>
      <c r="U24" s="23">
        <v>0</v>
      </c>
      <c r="V24" s="23">
        <v>0</v>
      </c>
      <c r="W24" s="58">
        <v>0</v>
      </c>
    </row>
    <row r="25" spans="1:23" x14ac:dyDescent="0.25">
      <c r="A25" s="32" t="s">
        <v>54</v>
      </c>
      <c r="B25" s="13"/>
      <c r="C25" s="13"/>
      <c r="D25" s="13"/>
      <c r="E25" s="13"/>
      <c r="F25" s="13"/>
      <c r="G25" s="13"/>
      <c r="H25" s="13"/>
      <c r="I25" s="13"/>
      <c r="J25" s="13"/>
      <c r="K25" s="14"/>
      <c r="M25" s="32" t="s">
        <v>54</v>
      </c>
      <c r="N25" s="13"/>
      <c r="O25" s="13"/>
      <c r="P25" s="13"/>
      <c r="Q25" s="13"/>
      <c r="R25" s="13"/>
      <c r="S25" s="13"/>
      <c r="T25" s="13"/>
      <c r="U25" s="13"/>
      <c r="V25" s="13"/>
      <c r="W25" s="14"/>
    </row>
    <row r="26" spans="1:23" x14ac:dyDescent="0.25">
      <c r="A26" s="32" t="s">
        <v>55</v>
      </c>
      <c r="B26" s="13"/>
      <c r="C26" s="13"/>
      <c r="D26" s="13"/>
      <c r="E26" s="13"/>
      <c r="F26" s="13"/>
      <c r="G26" s="13"/>
      <c r="H26" s="13"/>
      <c r="I26" s="13"/>
      <c r="J26" s="13"/>
      <c r="K26" s="14"/>
      <c r="M26" s="32" t="s">
        <v>55</v>
      </c>
      <c r="N26" s="13"/>
      <c r="O26" s="13"/>
      <c r="P26" s="13"/>
      <c r="Q26" s="13"/>
      <c r="R26" s="13"/>
      <c r="S26" s="13"/>
      <c r="T26" s="13"/>
      <c r="U26" s="13"/>
      <c r="V26" s="13"/>
      <c r="W26" s="14"/>
    </row>
    <row r="27" spans="1:23" x14ac:dyDescent="0.25">
      <c r="A27" s="32" t="s">
        <v>56</v>
      </c>
      <c r="B27" s="13"/>
      <c r="C27" s="13"/>
      <c r="D27" s="13"/>
      <c r="E27" s="13"/>
      <c r="F27" s="13"/>
      <c r="G27" s="13"/>
      <c r="H27" s="13"/>
      <c r="I27" s="13"/>
      <c r="J27" s="13"/>
      <c r="K27" s="14"/>
      <c r="M27" s="32" t="s">
        <v>56</v>
      </c>
      <c r="N27" s="13"/>
      <c r="O27" s="13"/>
      <c r="P27" s="13"/>
      <c r="Q27" s="13"/>
      <c r="R27" s="13"/>
      <c r="S27" s="13"/>
      <c r="T27" s="13"/>
      <c r="U27" s="13"/>
      <c r="V27" s="13"/>
      <c r="W27" s="14"/>
    </row>
    <row r="28" spans="1:23" x14ac:dyDescent="0.25">
      <c r="A28" s="33" t="s">
        <v>57</v>
      </c>
      <c r="B28" s="16"/>
      <c r="C28" s="16"/>
      <c r="D28" s="16"/>
      <c r="E28" s="16"/>
      <c r="F28" s="16"/>
      <c r="G28" s="16"/>
      <c r="H28" s="16"/>
      <c r="I28" s="16"/>
      <c r="J28" s="16"/>
      <c r="K28" s="17"/>
      <c r="M28" s="33" t="s">
        <v>57</v>
      </c>
      <c r="N28" s="16"/>
      <c r="O28" s="16"/>
      <c r="P28" s="16"/>
      <c r="Q28" s="16"/>
      <c r="R28" s="16"/>
      <c r="S28" s="16"/>
      <c r="T28" s="16"/>
      <c r="U28" s="16"/>
      <c r="V28" s="16"/>
      <c r="W28" s="17"/>
    </row>
    <row r="29" spans="1:23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N29" s="4"/>
      <c r="O29" s="4"/>
      <c r="P29" s="4"/>
      <c r="Q29" s="4"/>
      <c r="R29" s="4"/>
      <c r="S29" s="4"/>
      <c r="T29" s="4"/>
      <c r="U29" s="4"/>
      <c r="V29" s="4"/>
      <c r="W29" s="4"/>
    </row>
    <row r="30" spans="1:23" x14ac:dyDescent="0.25">
      <c r="A30" s="34" t="s">
        <v>17</v>
      </c>
      <c r="B30" s="19" t="s">
        <v>28</v>
      </c>
      <c r="C30" s="19" t="s">
        <v>29</v>
      </c>
      <c r="D30" s="19" t="s">
        <v>30</v>
      </c>
      <c r="E30" s="19" t="s">
        <v>31</v>
      </c>
      <c r="F30" s="19" t="s">
        <v>32</v>
      </c>
      <c r="G30" s="19" t="s">
        <v>33</v>
      </c>
      <c r="H30" s="19" t="s">
        <v>34</v>
      </c>
      <c r="I30" s="19" t="s">
        <v>35</v>
      </c>
      <c r="J30" s="19" t="s">
        <v>36</v>
      </c>
      <c r="K30" s="20" t="s">
        <v>37</v>
      </c>
      <c r="M30" s="34" t="s">
        <v>46</v>
      </c>
      <c r="N30" s="19" t="s">
        <v>28</v>
      </c>
      <c r="O30" s="19" t="s">
        <v>29</v>
      </c>
      <c r="P30" s="19" t="s">
        <v>30</v>
      </c>
      <c r="Q30" s="19" t="s">
        <v>31</v>
      </c>
      <c r="R30" s="19" t="s">
        <v>32</v>
      </c>
      <c r="S30" s="19" t="s">
        <v>33</v>
      </c>
      <c r="T30" s="19" t="s">
        <v>34</v>
      </c>
      <c r="U30" s="19" t="s">
        <v>35</v>
      </c>
      <c r="V30" s="19" t="s">
        <v>36</v>
      </c>
      <c r="W30" s="20" t="s">
        <v>37</v>
      </c>
    </row>
    <row r="31" spans="1:23" x14ac:dyDescent="0.25">
      <c r="A31" s="32" t="s">
        <v>18</v>
      </c>
      <c r="B31" s="23">
        <v>0</v>
      </c>
      <c r="C31" s="23">
        <v>0</v>
      </c>
      <c r="D31" s="23">
        <v>0</v>
      </c>
      <c r="E31" s="23">
        <v>0</v>
      </c>
      <c r="F31" s="23">
        <v>0</v>
      </c>
      <c r="G31" s="23">
        <v>0</v>
      </c>
      <c r="H31" s="23">
        <v>0</v>
      </c>
      <c r="I31" s="23">
        <v>0</v>
      </c>
      <c r="J31" s="23">
        <v>0</v>
      </c>
      <c r="K31" s="58">
        <v>0</v>
      </c>
      <c r="M31" s="32" t="s">
        <v>18</v>
      </c>
      <c r="N31" s="30">
        <v>0</v>
      </c>
      <c r="O31" s="30">
        <v>0</v>
      </c>
      <c r="P31" s="30">
        <v>1</v>
      </c>
      <c r="Q31" s="30">
        <v>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  <c r="W31" s="61">
        <v>1</v>
      </c>
    </row>
    <row r="32" spans="1:23" x14ac:dyDescent="0.25">
      <c r="A32" s="32" t="s">
        <v>19</v>
      </c>
      <c r="B32" s="23">
        <v>0</v>
      </c>
      <c r="C32" s="23">
        <v>0</v>
      </c>
      <c r="D32" s="23">
        <v>0</v>
      </c>
      <c r="E32" s="23">
        <v>0</v>
      </c>
      <c r="F32" s="23">
        <v>0</v>
      </c>
      <c r="G32" s="23">
        <v>1</v>
      </c>
      <c r="H32" s="23">
        <v>0</v>
      </c>
      <c r="I32" s="23">
        <v>0</v>
      </c>
      <c r="J32" s="23">
        <v>0</v>
      </c>
      <c r="K32" s="58">
        <v>0</v>
      </c>
      <c r="M32" s="32" t="s">
        <v>19</v>
      </c>
      <c r="N32" s="30">
        <v>0</v>
      </c>
      <c r="O32" s="30">
        <v>0</v>
      </c>
      <c r="P32" s="30">
        <v>0</v>
      </c>
      <c r="Q32" s="30">
        <v>0</v>
      </c>
      <c r="R32" s="30">
        <v>0</v>
      </c>
      <c r="S32" s="30">
        <v>0</v>
      </c>
      <c r="T32" s="30">
        <v>0</v>
      </c>
      <c r="U32" s="30">
        <v>0</v>
      </c>
      <c r="V32" s="30">
        <v>0</v>
      </c>
      <c r="W32" s="61">
        <v>0</v>
      </c>
    </row>
    <row r="33" spans="1:23" x14ac:dyDescent="0.25">
      <c r="A33" s="32" t="s">
        <v>20</v>
      </c>
      <c r="B33" s="23">
        <v>0</v>
      </c>
      <c r="C33" s="23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  <c r="K33" s="58">
        <v>0</v>
      </c>
      <c r="M33" s="32" t="s">
        <v>20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30">
        <v>0</v>
      </c>
      <c r="T33" s="30">
        <v>0</v>
      </c>
      <c r="U33" s="30">
        <v>0</v>
      </c>
      <c r="V33" s="30">
        <v>0</v>
      </c>
      <c r="W33" s="61">
        <v>0</v>
      </c>
    </row>
    <row r="34" spans="1:23" x14ac:dyDescent="0.25">
      <c r="A34" s="32" t="s">
        <v>21</v>
      </c>
      <c r="B34" s="23">
        <v>0</v>
      </c>
      <c r="C34" s="23">
        <v>1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58">
        <v>0</v>
      </c>
      <c r="M34" s="32" t="s">
        <v>21</v>
      </c>
      <c r="N34" s="30">
        <v>0</v>
      </c>
      <c r="O34" s="30">
        <v>0</v>
      </c>
      <c r="P34" s="30">
        <v>0</v>
      </c>
      <c r="Q34" s="30">
        <v>0</v>
      </c>
      <c r="R34" s="30">
        <v>1</v>
      </c>
      <c r="S34" s="30">
        <v>0</v>
      </c>
      <c r="T34" s="30">
        <v>1</v>
      </c>
      <c r="U34" s="30">
        <v>0</v>
      </c>
      <c r="V34" s="30">
        <v>0</v>
      </c>
      <c r="W34" s="61">
        <v>0</v>
      </c>
    </row>
    <row r="35" spans="1:23" x14ac:dyDescent="0.25">
      <c r="A35" s="32" t="s">
        <v>22</v>
      </c>
      <c r="B35" s="23">
        <v>0</v>
      </c>
      <c r="C35" s="23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1</v>
      </c>
      <c r="K35" s="58">
        <v>0</v>
      </c>
      <c r="M35" s="32" t="s">
        <v>22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30">
        <v>0</v>
      </c>
      <c r="T35" s="30">
        <v>0</v>
      </c>
      <c r="U35" s="30">
        <v>0</v>
      </c>
      <c r="V35" s="30">
        <v>0</v>
      </c>
      <c r="W35" s="61">
        <v>0</v>
      </c>
    </row>
    <row r="36" spans="1:23" x14ac:dyDescent="0.25">
      <c r="A36" s="32" t="s">
        <v>23</v>
      </c>
      <c r="B36" s="23">
        <v>0</v>
      </c>
      <c r="C36" s="23">
        <v>0</v>
      </c>
      <c r="D36" s="23">
        <v>0</v>
      </c>
      <c r="E36" s="23">
        <v>0</v>
      </c>
      <c r="F36" s="23">
        <v>0</v>
      </c>
      <c r="G36" s="23">
        <v>0</v>
      </c>
      <c r="H36" s="23">
        <v>0</v>
      </c>
      <c r="I36" s="23">
        <v>0</v>
      </c>
      <c r="J36" s="23">
        <v>0</v>
      </c>
      <c r="K36" s="58">
        <v>0</v>
      </c>
      <c r="M36" s="32" t="s">
        <v>23</v>
      </c>
      <c r="N36" s="30">
        <v>0</v>
      </c>
      <c r="O36" s="30">
        <v>0</v>
      </c>
      <c r="P36" s="30">
        <v>0</v>
      </c>
      <c r="Q36" s="30">
        <v>0</v>
      </c>
      <c r="R36" s="30">
        <v>0</v>
      </c>
      <c r="S36" s="30">
        <v>0</v>
      </c>
      <c r="T36" s="30">
        <v>0</v>
      </c>
      <c r="U36" s="30">
        <v>1</v>
      </c>
      <c r="V36" s="30">
        <v>0</v>
      </c>
      <c r="W36" s="61">
        <v>0</v>
      </c>
    </row>
    <row r="37" spans="1:23" x14ac:dyDescent="0.25">
      <c r="A37" s="32" t="s">
        <v>24</v>
      </c>
      <c r="B37" s="23">
        <v>0</v>
      </c>
      <c r="C37" s="23">
        <v>0</v>
      </c>
      <c r="D37" s="23">
        <v>0</v>
      </c>
      <c r="E37" s="23">
        <v>0</v>
      </c>
      <c r="F37" s="23">
        <v>0</v>
      </c>
      <c r="G37" s="23">
        <v>0</v>
      </c>
      <c r="H37" s="23">
        <v>0</v>
      </c>
      <c r="I37" s="23">
        <v>0</v>
      </c>
      <c r="J37" s="23">
        <v>0</v>
      </c>
      <c r="K37" s="58">
        <v>0</v>
      </c>
      <c r="M37" s="32" t="s">
        <v>24</v>
      </c>
      <c r="N37" s="30">
        <v>0</v>
      </c>
      <c r="O37" s="30">
        <v>0</v>
      </c>
      <c r="P37" s="30">
        <v>0</v>
      </c>
      <c r="Q37" s="30">
        <v>0</v>
      </c>
      <c r="R37" s="30">
        <v>1</v>
      </c>
      <c r="S37" s="30">
        <v>0</v>
      </c>
      <c r="T37" s="30">
        <v>0</v>
      </c>
      <c r="U37" s="30">
        <v>0</v>
      </c>
      <c r="V37" s="30">
        <v>0</v>
      </c>
      <c r="W37" s="61">
        <v>0</v>
      </c>
    </row>
    <row r="38" spans="1:23" x14ac:dyDescent="0.25">
      <c r="A38" s="32" t="s">
        <v>25</v>
      </c>
      <c r="B38" s="23">
        <v>0</v>
      </c>
      <c r="C38" s="23">
        <v>0</v>
      </c>
      <c r="D38" s="23">
        <v>0</v>
      </c>
      <c r="E38" s="23">
        <v>1</v>
      </c>
      <c r="F38" s="23">
        <v>0</v>
      </c>
      <c r="G38" s="23">
        <v>0</v>
      </c>
      <c r="H38" s="23">
        <v>0</v>
      </c>
      <c r="I38" s="23">
        <v>0</v>
      </c>
      <c r="J38" s="23">
        <v>0</v>
      </c>
      <c r="K38" s="58">
        <v>0</v>
      </c>
      <c r="M38" s="32" t="s">
        <v>25</v>
      </c>
      <c r="N38" s="30">
        <v>0</v>
      </c>
      <c r="O38" s="30">
        <v>0</v>
      </c>
      <c r="P38" s="30">
        <v>0</v>
      </c>
      <c r="Q38" s="30">
        <v>0</v>
      </c>
      <c r="R38" s="30">
        <v>0</v>
      </c>
      <c r="S38" s="30">
        <v>0</v>
      </c>
      <c r="T38" s="30">
        <v>0</v>
      </c>
      <c r="U38" s="30">
        <v>0</v>
      </c>
      <c r="V38" s="30">
        <v>0</v>
      </c>
      <c r="W38" s="61">
        <v>0</v>
      </c>
    </row>
    <row r="39" spans="1:23" x14ac:dyDescent="0.25">
      <c r="A39" s="32" t="s">
        <v>26</v>
      </c>
      <c r="B39" s="23">
        <v>0</v>
      </c>
      <c r="C39" s="23">
        <v>0</v>
      </c>
      <c r="D39" s="23">
        <v>0</v>
      </c>
      <c r="E39" s="23">
        <v>0</v>
      </c>
      <c r="F39" s="23">
        <v>0</v>
      </c>
      <c r="G39" s="23">
        <v>0</v>
      </c>
      <c r="H39" s="23">
        <v>0</v>
      </c>
      <c r="I39" s="23">
        <v>0</v>
      </c>
      <c r="J39" s="23">
        <v>0</v>
      </c>
      <c r="K39" s="58">
        <v>0</v>
      </c>
      <c r="M39" s="32" t="s">
        <v>26</v>
      </c>
      <c r="N39" s="30">
        <v>0</v>
      </c>
      <c r="O39" s="30">
        <v>0</v>
      </c>
      <c r="P39" s="30">
        <v>1</v>
      </c>
      <c r="Q39" s="30">
        <v>0</v>
      </c>
      <c r="R39" s="30">
        <v>0</v>
      </c>
      <c r="S39" s="30">
        <v>0</v>
      </c>
      <c r="T39" s="30">
        <v>0</v>
      </c>
      <c r="U39" s="30">
        <v>0</v>
      </c>
      <c r="V39" s="30">
        <v>0</v>
      </c>
      <c r="W39" s="61">
        <v>0</v>
      </c>
    </row>
    <row r="40" spans="1:23" x14ac:dyDescent="0.25">
      <c r="A40" s="33" t="s">
        <v>27</v>
      </c>
      <c r="B40" s="59">
        <v>0</v>
      </c>
      <c r="C40" s="59">
        <v>0</v>
      </c>
      <c r="D40" s="59">
        <v>0</v>
      </c>
      <c r="E40" s="59">
        <v>0</v>
      </c>
      <c r="F40" s="59">
        <v>0</v>
      </c>
      <c r="G40" s="59">
        <v>0</v>
      </c>
      <c r="H40" s="59">
        <v>0</v>
      </c>
      <c r="I40" s="59">
        <v>0</v>
      </c>
      <c r="J40" s="59">
        <v>0</v>
      </c>
      <c r="K40" s="60">
        <v>0</v>
      </c>
      <c r="M40" s="33" t="s">
        <v>27</v>
      </c>
      <c r="N40" s="62">
        <v>0</v>
      </c>
      <c r="O40" s="62">
        <v>0</v>
      </c>
      <c r="P40" s="62">
        <v>1</v>
      </c>
      <c r="Q40" s="62">
        <v>0</v>
      </c>
      <c r="R40" s="62">
        <v>0</v>
      </c>
      <c r="S40" s="62">
        <v>0</v>
      </c>
      <c r="T40" s="62">
        <v>0</v>
      </c>
      <c r="U40" s="62">
        <v>0</v>
      </c>
      <c r="V40" s="62">
        <v>1</v>
      </c>
      <c r="W40" s="63">
        <v>0</v>
      </c>
    </row>
    <row r="41" spans="1:23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N41" s="4"/>
      <c r="O41" s="4"/>
      <c r="P41" s="4"/>
      <c r="Q41" s="4"/>
      <c r="R41" s="4"/>
      <c r="S41" s="4"/>
      <c r="T41" s="4"/>
      <c r="U41" s="4"/>
      <c r="V41" s="4"/>
      <c r="W41" s="4"/>
    </row>
    <row r="42" spans="1:23" x14ac:dyDescent="0.25">
      <c r="A42" s="34" t="s">
        <v>44</v>
      </c>
      <c r="B42" s="19" t="s">
        <v>15</v>
      </c>
      <c r="C42" s="19" t="s">
        <v>16</v>
      </c>
      <c r="D42" s="19" t="s">
        <v>58</v>
      </c>
      <c r="E42" s="19" t="s">
        <v>59</v>
      </c>
      <c r="F42" s="19" t="s">
        <v>60</v>
      </c>
      <c r="G42" s="19" t="s">
        <v>61</v>
      </c>
      <c r="H42" s="19" t="s">
        <v>62</v>
      </c>
      <c r="I42" s="19" t="s">
        <v>63</v>
      </c>
      <c r="J42" s="19" t="s">
        <v>64</v>
      </c>
      <c r="K42" s="19" t="s">
        <v>65</v>
      </c>
      <c r="M42" s="34" t="s">
        <v>45</v>
      </c>
      <c r="N42" s="19" t="s">
        <v>8</v>
      </c>
      <c r="O42" s="19" t="s">
        <v>9</v>
      </c>
      <c r="P42" s="19" t="s">
        <v>10</v>
      </c>
      <c r="Q42" s="19" t="s">
        <v>11</v>
      </c>
      <c r="R42" s="19" t="s">
        <v>12</v>
      </c>
      <c r="S42" s="19" t="s">
        <v>53</v>
      </c>
      <c r="T42" s="19" t="s">
        <v>54</v>
      </c>
      <c r="U42" s="19" t="s">
        <v>55</v>
      </c>
      <c r="V42" s="19" t="s">
        <v>56</v>
      </c>
      <c r="W42" s="20" t="s">
        <v>57</v>
      </c>
    </row>
    <row r="43" spans="1:23" x14ac:dyDescent="0.25">
      <c r="A43" s="87" t="s">
        <v>8</v>
      </c>
      <c r="B43" s="30">
        <v>0</v>
      </c>
      <c r="C43" s="30">
        <v>0</v>
      </c>
      <c r="D43" s="30">
        <v>1</v>
      </c>
      <c r="E43" s="30">
        <v>0</v>
      </c>
      <c r="F43" s="13"/>
      <c r="G43" s="13"/>
      <c r="H43" s="13"/>
      <c r="I43" s="13"/>
      <c r="J43" s="13"/>
      <c r="K43" s="14"/>
      <c r="M43" s="32" t="s">
        <v>8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30">
        <v>0</v>
      </c>
      <c r="T43" s="13"/>
      <c r="U43" s="13"/>
      <c r="V43" s="13"/>
      <c r="W43" s="14"/>
    </row>
    <row r="44" spans="1:23" x14ac:dyDescent="0.25">
      <c r="A44" s="87" t="s">
        <v>9</v>
      </c>
      <c r="B44" s="30">
        <v>0</v>
      </c>
      <c r="C44" s="30">
        <v>0</v>
      </c>
      <c r="D44" s="30">
        <v>0</v>
      </c>
      <c r="E44" s="30">
        <v>1</v>
      </c>
      <c r="F44" s="13"/>
      <c r="G44" s="13"/>
      <c r="H44" s="13"/>
      <c r="I44" s="13"/>
      <c r="J44" s="13"/>
      <c r="K44" s="14"/>
      <c r="M44" s="32" t="s">
        <v>9</v>
      </c>
      <c r="N44" s="30">
        <v>0</v>
      </c>
      <c r="O44" s="30">
        <v>0</v>
      </c>
      <c r="P44" s="30">
        <v>0</v>
      </c>
      <c r="Q44" s="30">
        <v>0</v>
      </c>
      <c r="R44" s="30">
        <v>0</v>
      </c>
      <c r="S44" s="30">
        <v>0</v>
      </c>
      <c r="T44" s="13"/>
      <c r="U44" s="13"/>
      <c r="V44" s="13"/>
      <c r="W44" s="14"/>
    </row>
    <row r="45" spans="1:23" x14ac:dyDescent="0.25">
      <c r="A45" s="87" t="s">
        <v>10</v>
      </c>
      <c r="B45" s="30">
        <v>0</v>
      </c>
      <c r="C45" s="30">
        <v>1</v>
      </c>
      <c r="D45" s="30">
        <v>0</v>
      </c>
      <c r="E45" s="30">
        <v>0</v>
      </c>
      <c r="F45" s="13"/>
      <c r="G45" s="13"/>
      <c r="H45" s="13"/>
      <c r="I45" s="13"/>
      <c r="J45" s="13"/>
      <c r="K45" s="14"/>
      <c r="M45" s="32" t="s">
        <v>10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30">
        <v>0</v>
      </c>
      <c r="T45" s="13"/>
      <c r="U45" s="13"/>
      <c r="V45" s="13"/>
      <c r="W45" s="14"/>
    </row>
    <row r="46" spans="1:23" x14ac:dyDescent="0.25">
      <c r="A46" s="87" t="s">
        <v>11</v>
      </c>
      <c r="B46" s="30">
        <v>1</v>
      </c>
      <c r="C46" s="30">
        <v>0</v>
      </c>
      <c r="D46" s="30">
        <v>0</v>
      </c>
      <c r="E46" s="30">
        <v>0</v>
      </c>
      <c r="F46" s="13"/>
      <c r="G46" s="13"/>
      <c r="H46" s="13"/>
      <c r="I46" s="13"/>
      <c r="J46" s="13"/>
      <c r="K46" s="14"/>
      <c r="M46" s="32" t="s">
        <v>11</v>
      </c>
      <c r="N46" s="30">
        <v>0</v>
      </c>
      <c r="O46" s="30">
        <v>0</v>
      </c>
      <c r="P46" s="30">
        <v>0</v>
      </c>
      <c r="Q46" s="30">
        <v>0</v>
      </c>
      <c r="R46" s="30">
        <v>0</v>
      </c>
      <c r="S46" s="30">
        <v>1</v>
      </c>
      <c r="T46" s="13"/>
      <c r="U46" s="13"/>
      <c r="V46" s="13"/>
      <c r="W46" s="14"/>
    </row>
    <row r="47" spans="1:23" x14ac:dyDescent="0.25">
      <c r="A47" s="87" t="s">
        <v>12</v>
      </c>
      <c r="B47" s="30">
        <v>0</v>
      </c>
      <c r="C47" s="30">
        <v>1</v>
      </c>
      <c r="D47" s="30">
        <v>0</v>
      </c>
      <c r="E47" s="30">
        <v>0</v>
      </c>
      <c r="F47" s="13"/>
      <c r="G47" s="13"/>
      <c r="H47" s="13"/>
      <c r="I47" s="13"/>
      <c r="J47" s="13"/>
      <c r="K47" s="14"/>
      <c r="M47" s="32" t="s">
        <v>12</v>
      </c>
      <c r="N47" s="30">
        <v>0</v>
      </c>
      <c r="O47" s="30">
        <v>0</v>
      </c>
      <c r="P47" s="30">
        <v>1</v>
      </c>
      <c r="Q47" s="30">
        <v>0</v>
      </c>
      <c r="R47" s="30">
        <v>0</v>
      </c>
      <c r="S47" s="30">
        <v>0</v>
      </c>
      <c r="T47" s="13"/>
      <c r="U47" s="13"/>
      <c r="V47" s="13"/>
      <c r="W47" s="14"/>
    </row>
    <row r="48" spans="1:23" x14ac:dyDescent="0.25">
      <c r="A48" s="87" t="s">
        <v>53</v>
      </c>
      <c r="B48" s="30">
        <v>1</v>
      </c>
      <c r="C48" s="30">
        <v>0</v>
      </c>
      <c r="D48" s="30">
        <v>0</v>
      </c>
      <c r="E48" s="30">
        <v>0</v>
      </c>
      <c r="F48" s="13"/>
      <c r="G48" s="13"/>
      <c r="H48" s="13"/>
      <c r="I48" s="13"/>
      <c r="J48" s="13"/>
      <c r="K48" s="14"/>
      <c r="M48" s="32" t="s">
        <v>53</v>
      </c>
      <c r="N48" s="30">
        <v>0</v>
      </c>
      <c r="O48" s="30">
        <v>0</v>
      </c>
      <c r="P48" s="30">
        <v>0</v>
      </c>
      <c r="Q48" s="30">
        <v>0</v>
      </c>
      <c r="R48" s="30">
        <v>0</v>
      </c>
      <c r="S48" s="30">
        <v>0</v>
      </c>
      <c r="T48" s="13"/>
      <c r="U48" s="13"/>
      <c r="V48" s="13"/>
      <c r="W48" s="14"/>
    </row>
    <row r="49" spans="1:102" x14ac:dyDescent="0.25">
      <c r="A49" s="32" t="s">
        <v>54</v>
      </c>
      <c r="B49" s="13"/>
      <c r="C49" s="13"/>
      <c r="D49" s="13"/>
      <c r="E49" s="13"/>
      <c r="F49" s="13"/>
      <c r="G49" s="13"/>
      <c r="H49" s="13"/>
      <c r="I49" s="13"/>
      <c r="J49" s="13"/>
      <c r="K49" s="14"/>
      <c r="M49" s="32" t="s">
        <v>54</v>
      </c>
      <c r="N49" s="13"/>
      <c r="O49" s="13"/>
      <c r="P49" s="13"/>
      <c r="Q49" s="13"/>
      <c r="R49" s="13"/>
      <c r="S49" s="13"/>
      <c r="T49" s="13"/>
      <c r="U49" s="13"/>
      <c r="V49" s="13"/>
      <c r="W49" s="14"/>
    </row>
    <row r="50" spans="1:102" x14ac:dyDescent="0.25">
      <c r="A50" s="32" t="s">
        <v>55</v>
      </c>
      <c r="B50" s="13"/>
      <c r="C50" s="13"/>
      <c r="D50" s="13"/>
      <c r="E50" s="13"/>
      <c r="F50" s="13"/>
      <c r="G50" s="13"/>
      <c r="H50" s="13"/>
      <c r="I50" s="13"/>
      <c r="J50" s="13"/>
      <c r="K50" s="14"/>
      <c r="M50" s="32" t="s">
        <v>55</v>
      </c>
      <c r="N50" s="13"/>
      <c r="O50" s="13"/>
      <c r="P50" s="13"/>
      <c r="Q50" s="13"/>
      <c r="R50" s="13"/>
      <c r="S50" s="13"/>
      <c r="T50" s="13"/>
      <c r="U50" s="13"/>
      <c r="V50" s="13"/>
      <c r="W50" s="14"/>
    </row>
    <row r="51" spans="1:102" x14ac:dyDescent="0.25">
      <c r="A51" s="32" t="s">
        <v>56</v>
      </c>
      <c r="B51" s="13"/>
      <c r="C51" s="13"/>
      <c r="D51" s="13"/>
      <c r="E51" s="13"/>
      <c r="F51" s="13"/>
      <c r="G51" s="13"/>
      <c r="H51" s="13"/>
      <c r="I51" s="13"/>
      <c r="J51" s="13"/>
      <c r="K51" s="14"/>
      <c r="M51" s="32" t="s">
        <v>56</v>
      </c>
      <c r="N51" s="13"/>
      <c r="O51" s="13"/>
      <c r="P51" s="13"/>
      <c r="Q51" s="13"/>
      <c r="R51" s="13"/>
      <c r="S51" s="13"/>
      <c r="T51" s="13"/>
      <c r="U51" s="13"/>
      <c r="V51" s="13"/>
      <c r="W51" s="14"/>
    </row>
    <row r="52" spans="1:102" x14ac:dyDescent="0.25">
      <c r="A52" s="33" t="s">
        <v>57</v>
      </c>
      <c r="B52" s="16"/>
      <c r="C52" s="16"/>
      <c r="D52" s="16"/>
      <c r="E52" s="16"/>
      <c r="F52" s="16"/>
      <c r="G52" s="16"/>
      <c r="H52" s="16"/>
      <c r="I52" s="16"/>
      <c r="J52" s="16"/>
      <c r="K52" s="17"/>
      <c r="M52" s="33" t="s">
        <v>57</v>
      </c>
      <c r="N52" s="16"/>
      <c r="O52" s="16"/>
      <c r="P52" s="16"/>
      <c r="Q52" s="16"/>
      <c r="R52" s="16"/>
      <c r="S52" s="16"/>
      <c r="T52" s="16"/>
      <c r="U52" s="16"/>
      <c r="V52" s="16"/>
      <c r="W52" s="17"/>
    </row>
    <row r="55" spans="1:102" x14ac:dyDescent="0.25">
      <c r="A55" s="5" t="s">
        <v>47</v>
      </c>
      <c r="C55" s="2" t="s">
        <v>8</v>
      </c>
      <c r="D55" s="2" t="s">
        <v>8</v>
      </c>
      <c r="E55" s="2" t="s">
        <v>9</v>
      </c>
      <c r="F55" s="2" t="s">
        <v>9</v>
      </c>
      <c r="G55" s="2" t="s">
        <v>10</v>
      </c>
      <c r="H55" s="2" t="s">
        <v>10</v>
      </c>
      <c r="I55" s="2" t="s">
        <v>11</v>
      </c>
      <c r="J55" s="2" t="s">
        <v>11</v>
      </c>
      <c r="K55" s="2"/>
      <c r="L55" s="2"/>
    </row>
    <row r="56" spans="1:102" x14ac:dyDescent="0.25">
      <c r="B56" s="4"/>
      <c r="C56" s="4" t="s">
        <v>15</v>
      </c>
      <c r="D56" t="s">
        <v>16</v>
      </c>
      <c r="E56" s="4" t="s">
        <v>15</v>
      </c>
      <c r="F56" t="s">
        <v>16</v>
      </c>
      <c r="G56" s="4" t="s">
        <v>15</v>
      </c>
      <c r="H56" t="s">
        <v>16</v>
      </c>
      <c r="I56" s="4" t="s">
        <v>15</v>
      </c>
      <c r="J56" t="s">
        <v>16</v>
      </c>
    </row>
    <row r="57" spans="1:102" x14ac:dyDescent="0.25">
      <c r="A57" s="2" t="s">
        <v>8</v>
      </c>
      <c r="B57" s="4" t="s">
        <v>15</v>
      </c>
      <c r="C57" s="27">
        <v>0</v>
      </c>
      <c r="D57" s="28">
        <v>0</v>
      </c>
      <c r="E57" s="28">
        <v>0</v>
      </c>
      <c r="F57" s="28">
        <v>0</v>
      </c>
      <c r="G57" s="28">
        <v>0</v>
      </c>
      <c r="H57" s="28">
        <v>0</v>
      </c>
      <c r="I57" s="28">
        <v>0</v>
      </c>
      <c r="J57" s="28">
        <v>0</v>
      </c>
      <c r="K57" s="28">
        <v>0</v>
      </c>
      <c r="L57" s="28">
        <v>0</v>
      </c>
      <c r="M57" s="28">
        <v>0</v>
      </c>
      <c r="N57" s="28">
        <v>0</v>
      </c>
      <c r="O57" s="28">
        <v>0</v>
      </c>
      <c r="P57" s="28">
        <v>0</v>
      </c>
      <c r="Q57" s="28">
        <v>0</v>
      </c>
      <c r="R57" s="28">
        <v>0</v>
      </c>
      <c r="S57" s="28">
        <v>0</v>
      </c>
      <c r="T57" s="28">
        <v>0</v>
      </c>
      <c r="U57" s="28">
        <v>0</v>
      </c>
      <c r="V57" s="28">
        <v>0</v>
      </c>
      <c r="W57" s="28">
        <v>0</v>
      </c>
      <c r="X57" s="28">
        <v>0</v>
      </c>
      <c r="Y57" s="28">
        <v>0</v>
      </c>
      <c r="Z57" s="28">
        <v>0</v>
      </c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1"/>
    </row>
    <row r="58" spans="1:102" x14ac:dyDescent="0.25">
      <c r="A58" s="2" t="s">
        <v>8</v>
      </c>
      <c r="B58" t="s">
        <v>16</v>
      </c>
      <c r="C58" s="29">
        <v>0</v>
      </c>
      <c r="D58" s="30">
        <v>0</v>
      </c>
      <c r="E58" s="30">
        <v>0</v>
      </c>
      <c r="F58" s="30">
        <v>0</v>
      </c>
      <c r="G58" s="30">
        <v>0</v>
      </c>
      <c r="H58" s="30">
        <v>0</v>
      </c>
      <c r="I58" s="30">
        <v>0</v>
      </c>
      <c r="J58" s="30">
        <v>0</v>
      </c>
      <c r="K58" s="30">
        <v>0</v>
      </c>
      <c r="L58" s="30">
        <v>0</v>
      </c>
      <c r="M58" s="30">
        <v>0</v>
      </c>
      <c r="N58" s="30">
        <v>0</v>
      </c>
      <c r="O58" s="30">
        <v>0</v>
      </c>
      <c r="P58" s="30">
        <v>0</v>
      </c>
      <c r="Q58" s="30">
        <v>0</v>
      </c>
      <c r="R58" s="30">
        <v>0</v>
      </c>
      <c r="S58" s="30">
        <v>0</v>
      </c>
      <c r="T58" s="30">
        <v>0</v>
      </c>
      <c r="U58" s="30">
        <v>0</v>
      </c>
      <c r="V58" s="30">
        <v>0</v>
      </c>
      <c r="W58" s="30">
        <v>0</v>
      </c>
      <c r="X58" s="30">
        <v>0</v>
      </c>
      <c r="Y58" s="30">
        <v>0</v>
      </c>
      <c r="Z58" s="30">
        <v>0</v>
      </c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4"/>
    </row>
    <row r="59" spans="1:102" x14ac:dyDescent="0.25">
      <c r="A59" s="2" t="s">
        <v>9</v>
      </c>
      <c r="B59" s="4" t="s">
        <v>15</v>
      </c>
      <c r="C59" s="29">
        <v>0</v>
      </c>
      <c r="D59" s="30">
        <v>0</v>
      </c>
      <c r="E59" s="30">
        <v>1</v>
      </c>
      <c r="F59" s="30">
        <v>0</v>
      </c>
      <c r="G59" s="30">
        <v>0</v>
      </c>
      <c r="H59" s="30">
        <v>0</v>
      </c>
      <c r="I59" s="30">
        <v>0</v>
      </c>
      <c r="J59" s="30">
        <v>1</v>
      </c>
      <c r="K59" s="30">
        <v>0</v>
      </c>
      <c r="L59" s="30">
        <v>1</v>
      </c>
      <c r="M59" s="30">
        <v>0</v>
      </c>
      <c r="N59" s="94">
        <v>0</v>
      </c>
      <c r="O59" s="94">
        <v>1</v>
      </c>
      <c r="P59" s="94">
        <v>0</v>
      </c>
      <c r="Q59" s="94">
        <v>0</v>
      </c>
      <c r="R59" s="94">
        <v>0</v>
      </c>
      <c r="S59" s="94">
        <v>0</v>
      </c>
      <c r="T59" s="94">
        <v>1</v>
      </c>
      <c r="U59" s="94">
        <v>0</v>
      </c>
      <c r="V59" s="30">
        <v>0</v>
      </c>
      <c r="W59" s="30">
        <v>1</v>
      </c>
      <c r="X59" s="30">
        <v>0</v>
      </c>
      <c r="Y59" s="30">
        <v>0</v>
      </c>
      <c r="Z59" s="30">
        <v>0</v>
      </c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4"/>
    </row>
    <row r="60" spans="1:102" x14ac:dyDescent="0.25">
      <c r="A60" s="2" t="s">
        <v>9</v>
      </c>
      <c r="B60" t="s">
        <v>16</v>
      </c>
      <c r="C60" s="29">
        <v>0</v>
      </c>
      <c r="D60" s="30">
        <v>0</v>
      </c>
      <c r="E60" s="30">
        <v>0</v>
      </c>
      <c r="F60" s="30">
        <v>0</v>
      </c>
      <c r="G60" s="30">
        <v>0</v>
      </c>
      <c r="H60" s="30">
        <v>0</v>
      </c>
      <c r="I60" s="30">
        <v>0</v>
      </c>
      <c r="J60" s="30">
        <v>0</v>
      </c>
      <c r="K60" s="30">
        <v>0</v>
      </c>
      <c r="L60" s="30">
        <v>0</v>
      </c>
      <c r="M60" s="30">
        <v>0</v>
      </c>
      <c r="N60" s="95">
        <v>0</v>
      </c>
      <c r="O60" s="95">
        <v>0</v>
      </c>
      <c r="P60" s="95">
        <v>0</v>
      </c>
      <c r="Q60" s="95">
        <v>0</v>
      </c>
      <c r="R60" s="95">
        <v>0</v>
      </c>
      <c r="S60" s="95">
        <v>0</v>
      </c>
      <c r="T60" s="95">
        <v>0</v>
      </c>
      <c r="U60" s="95">
        <v>0</v>
      </c>
      <c r="V60" s="30">
        <v>0</v>
      </c>
      <c r="W60" s="30">
        <v>0</v>
      </c>
      <c r="X60" s="30">
        <v>0</v>
      </c>
      <c r="Y60" s="30">
        <v>0</v>
      </c>
      <c r="Z60" s="30">
        <v>0</v>
      </c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4"/>
    </row>
    <row r="61" spans="1:102" x14ac:dyDescent="0.25">
      <c r="A61" s="2" t="s">
        <v>10</v>
      </c>
      <c r="B61" s="4" t="s">
        <v>15</v>
      </c>
      <c r="C61" s="29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94">
        <v>0</v>
      </c>
      <c r="O61" s="94">
        <v>0</v>
      </c>
      <c r="P61" s="94">
        <v>0</v>
      </c>
      <c r="Q61" s="94">
        <v>0</v>
      </c>
      <c r="R61" s="94">
        <v>0</v>
      </c>
      <c r="S61" s="94">
        <v>0</v>
      </c>
      <c r="T61" s="94">
        <v>0</v>
      </c>
      <c r="U61" s="94">
        <v>0</v>
      </c>
      <c r="V61" s="30">
        <v>0</v>
      </c>
      <c r="W61" s="30">
        <v>0</v>
      </c>
      <c r="X61" s="30">
        <v>0</v>
      </c>
      <c r="Y61" s="30">
        <v>0</v>
      </c>
      <c r="Z61" s="30">
        <v>0</v>
      </c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4"/>
    </row>
    <row r="62" spans="1:102" x14ac:dyDescent="0.25">
      <c r="A62" s="2" t="s">
        <v>10</v>
      </c>
      <c r="B62" t="s">
        <v>16</v>
      </c>
      <c r="C62" s="29">
        <v>0</v>
      </c>
      <c r="D62" s="30">
        <v>0</v>
      </c>
      <c r="E62" s="30">
        <v>0</v>
      </c>
      <c r="F62" s="30">
        <v>0</v>
      </c>
      <c r="G62" s="30">
        <v>0</v>
      </c>
      <c r="H62" s="30">
        <v>0</v>
      </c>
      <c r="I62" s="30">
        <v>0</v>
      </c>
      <c r="J62" s="30">
        <v>0</v>
      </c>
      <c r="K62" s="30">
        <v>0</v>
      </c>
      <c r="L62" s="30">
        <v>0</v>
      </c>
      <c r="M62" s="30">
        <v>0</v>
      </c>
      <c r="N62" s="95">
        <v>0</v>
      </c>
      <c r="O62" s="95">
        <v>0</v>
      </c>
      <c r="P62" s="95">
        <v>0</v>
      </c>
      <c r="Q62" s="95">
        <v>0</v>
      </c>
      <c r="R62" s="95">
        <v>0</v>
      </c>
      <c r="S62" s="95">
        <v>0</v>
      </c>
      <c r="T62" s="95">
        <v>0</v>
      </c>
      <c r="U62" s="95">
        <v>0</v>
      </c>
      <c r="V62" s="30">
        <v>0</v>
      </c>
      <c r="W62" s="30">
        <v>0</v>
      </c>
      <c r="X62" s="30">
        <v>0</v>
      </c>
      <c r="Y62" s="30">
        <v>0</v>
      </c>
      <c r="Z62" s="30">
        <v>0</v>
      </c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4"/>
    </row>
    <row r="63" spans="1:102" x14ac:dyDescent="0.25">
      <c r="A63" s="2" t="s">
        <v>11</v>
      </c>
      <c r="B63" s="4" t="s">
        <v>15</v>
      </c>
      <c r="C63" s="29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95">
        <v>0</v>
      </c>
      <c r="O63" s="95">
        <v>0</v>
      </c>
      <c r="P63" s="95">
        <v>0</v>
      </c>
      <c r="Q63" s="95">
        <v>0</v>
      </c>
      <c r="R63" s="95">
        <v>0</v>
      </c>
      <c r="S63" s="95">
        <v>0</v>
      </c>
      <c r="T63" s="95">
        <v>0</v>
      </c>
      <c r="U63" s="95">
        <v>0</v>
      </c>
      <c r="V63" s="30">
        <v>0</v>
      </c>
      <c r="W63" s="30">
        <v>0</v>
      </c>
      <c r="X63" s="30">
        <v>0</v>
      </c>
      <c r="Y63" s="30">
        <v>0</v>
      </c>
      <c r="Z63" s="30">
        <v>0</v>
      </c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4"/>
    </row>
    <row r="64" spans="1:102" x14ac:dyDescent="0.25">
      <c r="A64" s="2" t="s">
        <v>11</v>
      </c>
      <c r="B64" t="s">
        <v>16</v>
      </c>
      <c r="C64" s="29">
        <v>0</v>
      </c>
      <c r="D64" s="30">
        <v>0</v>
      </c>
      <c r="E64" s="30">
        <v>1</v>
      </c>
      <c r="F64" s="30">
        <v>0</v>
      </c>
      <c r="G64" s="30">
        <v>0</v>
      </c>
      <c r="H64" s="30">
        <v>0</v>
      </c>
      <c r="I64" s="30">
        <v>0</v>
      </c>
      <c r="J64" s="30">
        <v>1</v>
      </c>
      <c r="K64" s="30">
        <v>0</v>
      </c>
      <c r="L64" s="30">
        <v>1</v>
      </c>
      <c r="M64" s="30">
        <v>0</v>
      </c>
      <c r="N64" s="95">
        <v>0</v>
      </c>
      <c r="O64" s="95">
        <v>1</v>
      </c>
      <c r="P64" s="95">
        <v>0</v>
      </c>
      <c r="Q64" s="95">
        <v>0</v>
      </c>
      <c r="R64" s="95">
        <v>0</v>
      </c>
      <c r="S64" s="95">
        <v>0</v>
      </c>
      <c r="T64" s="95">
        <v>1</v>
      </c>
      <c r="U64" s="95">
        <v>0</v>
      </c>
      <c r="V64" s="30">
        <v>0</v>
      </c>
      <c r="W64" s="30">
        <v>1</v>
      </c>
      <c r="X64" s="30">
        <v>0</v>
      </c>
      <c r="Y64" s="30">
        <v>0</v>
      </c>
      <c r="Z64" s="30">
        <v>0</v>
      </c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4"/>
    </row>
    <row r="65" spans="1:102" x14ac:dyDescent="0.25">
      <c r="A65" s="2"/>
      <c r="C65" s="29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95">
        <v>0</v>
      </c>
      <c r="O65" s="95">
        <v>0</v>
      </c>
      <c r="P65" s="95">
        <v>0</v>
      </c>
      <c r="Q65" s="95">
        <v>0</v>
      </c>
      <c r="R65" s="95">
        <v>0</v>
      </c>
      <c r="S65" s="95">
        <v>0</v>
      </c>
      <c r="T65" s="95">
        <v>0</v>
      </c>
      <c r="U65" s="95">
        <v>0</v>
      </c>
      <c r="V65" s="30">
        <v>0</v>
      </c>
      <c r="W65" s="30">
        <v>0</v>
      </c>
      <c r="X65" s="30">
        <v>0</v>
      </c>
      <c r="Y65" s="30">
        <v>0</v>
      </c>
      <c r="Z65" s="30">
        <v>0</v>
      </c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4"/>
    </row>
    <row r="66" spans="1:102" x14ac:dyDescent="0.25">
      <c r="A66" s="2"/>
      <c r="C66" s="29">
        <v>0</v>
      </c>
      <c r="D66" s="30">
        <v>0</v>
      </c>
      <c r="E66" s="30">
        <v>1</v>
      </c>
      <c r="F66" s="30">
        <v>0</v>
      </c>
      <c r="G66" s="30">
        <v>0</v>
      </c>
      <c r="H66" s="30">
        <v>0</v>
      </c>
      <c r="I66" s="30">
        <v>0</v>
      </c>
      <c r="J66" s="30">
        <v>1</v>
      </c>
      <c r="K66" s="30">
        <v>0</v>
      </c>
      <c r="L66" s="30">
        <v>1</v>
      </c>
      <c r="M66" s="30">
        <v>0</v>
      </c>
      <c r="N66" s="95">
        <v>0</v>
      </c>
      <c r="O66" s="95">
        <v>1</v>
      </c>
      <c r="P66" s="95">
        <v>0</v>
      </c>
      <c r="Q66" s="95">
        <v>0</v>
      </c>
      <c r="R66" s="95">
        <v>0</v>
      </c>
      <c r="S66" s="95">
        <v>0</v>
      </c>
      <c r="T66" s="95">
        <v>1</v>
      </c>
      <c r="U66" s="95">
        <v>0</v>
      </c>
      <c r="V66" s="30">
        <v>0</v>
      </c>
      <c r="W66" s="30">
        <v>1</v>
      </c>
      <c r="X66" s="30">
        <v>0</v>
      </c>
      <c r="Y66" s="30">
        <v>0</v>
      </c>
      <c r="Z66" s="30">
        <v>0</v>
      </c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4"/>
    </row>
    <row r="67" spans="1:102" x14ac:dyDescent="0.25">
      <c r="C67" s="29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30">
        <v>0</v>
      </c>
      <c r="T67" s="30">
        <v>0</v>
      </c>
      <c r="U67" s="30">
        <v>0</v>
      </c>
      <c r="V67" s="30">
        <v>0</v>
      </c>
      <c r="W67" s="30">
        <v>0</v>
      </c>
      <c r="X67" s="30">
        <v>0</v>
      </c>
      <c r="Y67" s="30">
        <v>0</v>
      </c>
      <c r="Z67" s="30">
        <v>0</v>
      </c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4"/>
    </row>
    <row r="68" spans="1:102" x14ac:dyDescent="0.25">
      <c r="C68" s="29">
        <v>0</v>
      </c>
      <c r="D68" s="30">
        <v>0</v>
      </c>
      <c r="E68" s="30">
        <v>0</v>
      </c>
      <c r="F68" s="30">
        <v>0</v>
      </c>
      <c r="G68" s="30">
        <v>0</v>
      </c>
      <c r="H68" s="30">
        <v>0</v>
      </c>
      <c r="I68" s="30">
        <v>0</v>
      </c>
      <c r="J68" s="30">
        <v>0</v>
      </c>
      <c r="K68" s="30">
        <v>0</v>
      </c>
      <c r="L68" s="30">
        <v>0</v>
      </c>
      <c r="M68" s="30">
        <v>0</v>
      </c>
      <c r="N68" s="30">
        <v>0</v>
      </c>
      <c r="O68" s="30">
        <v>0</v>
      </c>
      <c r="P68" s="30">
        <v>0</v>
      </c>
      <c r="Q68" s="30">
        <v>0</v>
      </c>
      <c r="R68" s="30">
        <v>0</v>
      </c>
      <c r="S68" s="30">
        <v>0</v>
      </c>
      <c r="T68" s="30">
        <v>0</v>
      </c>
      <c r="U68" s="30">
        <v>0</v>
      </c>
      <c r="V68" s="30">
        <v>0</v>
      </c>
      <c r="W68" s="30">
        <v>0</v>
      </c>
      <c r="X68" s="30">
        <v>0</v>
      </c>
      <c r="Y68" s="30">
        <v>0</v>
      </c>
      <c r="Z68" s="30">
        <v>0</v>
      </c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4"/>
    </row>
    <row r="69" spans="1:102" x14ac:dyDescent="0.25">
      <c r="C69" s="29">
        <v>0</v>
      </c>
      <c r="D69" s="30">
        <v>0</v>
      </c>
      <c r="E69" s="30">
        <v>1</v>
      </c>
      <c r="F69" s="30">
        <v>0</v>
      </c>
      <c r="G69" s="30">
        <v>0</v>
      </c>
      <c r="H69" s="30">
        <v>0</v>
      </c>
      <c r="I69" s="30">
        <v>0</v>
      </c>
      <c r="J69" s="30">
        <v>1</v>
      </c>
      <c r="K69" s="30">
        <v>0</v>
      </c>
      <c r="L69" s="30">
        <v>1</v>
      </c>
      <c r="M69" s="30">
        <v>0</v>
      </c>
      <c r="N69" s="30">
        <v>0</v>
      </c>
      <c r="O69" s="30">
        <v>1</v>
      </c>
      <c r="P69" s="30">
        <v>0</v>
      </c>
      <c r="Q69" s="30">
        <v>0</v>
      </c>
      <c r="R69" s="30">
        <v>0</v>
      </c>
      <c r="S69" s="30">
        <v>0</v>
      </c>
      <c r="T69" s="30">
        <v>1</v>
      </c>
      <c r="U69" s="30">
        <v>0</v>
      </c>
      <c r="V69" s="30">
        <v>0</v>
      </c>
      <c r="W69" s="30">
        <v>1</v>
      </c>
      <c r="X69" s="30">
        <v>0</v>
      </c>
      <c r="Y69" s="30">
        <v>0</v>
      </c>
      <c r="Z69" s="30">
        <v>0</v>
      </c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4"/>
    </row>
    <row r="70" spans="1:102" x14ac:dyDescent="0.25">
      <c r="C70" s="29">
        <v>0</v>
      </c>
      <c r="D70" s="30">
        <v>0</v>
      </c>
      <c r="E70" s="30">
        <v>0</v>
      </c>
      <c r="F70" s="30">
        <v>0</v>
      </c>
      <c r="G70" s="30">
        <v>0</v>
      </c>
      <c r="H70" s="30">
        <v>0</v>
      </c>
      <c r="I70" s="30">
        <v>0</v>
      </c>
      <c r="J70" s="30">
        <v>0</v>
      </c>
      <c r="K70" s="30">
        <v>0</v>
      </c>
      <c r="L70" s="30">
        <v>0</v>
      </c>
      <c r="M70" s="30">
        <v>0</v>
      </c>
      <c r="N70" s="30">
        <v>0</v>
      </c>
      <c r="O70" s="30">
        <v>0</v>
      </c>
      <c r="P70" s="30">
        <v>0</v>
      </c>
      <c r="Q70" s="30">
        <v>0</v>
      </c>
      <c r="R70" s="30">
        <v>0</v>
      </c>
      <c r="S70" s="30">
        <v>0</v>
      </c>
      <c r="T70" s="30">
        <v>0</v>
      </c>
      <c r="U70" s="30">
        <v>0</v>
      </c>
      <c r="V70" s="30">
        <v>0</v>
      </c>
      <c r="W70" s="30">
        <v>0</v>
      </c>
      <c r="X70" s="30">
        <v>0</v>
      </c>
      <c r="Y70" s="30">
        <v>0</v>
      </c>
      <c r="Z70" s="30">
        <v>0</v>
      </c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4"/>
    </row>
    <row r="71" spans="1:102" x14ac:dyDescent="0.25">
      <c r="C71" s="29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30">
        <v>0</v>
      </c>
      <c r="T71" s="30">
        <v>0</v>
      </c>
      <c r="U71" s="30">
        <v>0</v>
      </c>
      <c r="V71" s="30">
        <v>0</v>
      </c>
      <c r="W71" s="30">
        <v>0</v>
      </c>
      <c r="X71" s="30">
        <v>0</v>
      </c>
      <c r="Y71" s="30">
        <v>0</v>
      </c>
      <c r="Z71" s="30">
        <v>0</v>
      </c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4"/>
    </row>
    <row r="72" spans="1:102" x14ac:dyDescent="0.25">
      <c r="C72" s="29">
        <v>0</v>
      </c>
      <c r="D72" s="30">
        <v>0</v>
      </c>
      <c r="E72" s="30">
        <v>0</v>
      </c>
      <c r="F72" s="30">
        <v>0</v>
      </c>
      <c r="G72" s="30">
        <v>0</v>
      </c>
      <c r="H72" s="30">
        <v>0</v>
      </c>
      <c r="I72" s="30">
        <v>0</v>
      </c>
      <c r="J72" s="30">
        <v>0</v>
      </c>
      <c r="K72" s="30">
        <v>0</v>
      </c>
      <c r="L72" s="30">
        <v>0</v>
      </c>
      <c r="M72" s="30">
        <v>0</v>
      </c>
      <c r="N72" s="30">
        <v>0</v>
      </c>
      <c r="O72" s="30">
        <v>0</v>
      </c>
      <c r="P72" s="30">
        <v>0</v>
      </c>
      <c r="Q72" s="30">
        <v>0</v>
      </c>
      <c r="R72" s="30">
        <v>0</v>
      </c>
      <c r="S72" s="30">
        <v>0</v>
      </c>
      <c r="T72" s="30">
        <v>0</v>
      </c>
      <c r="U72" s="30">
        <v>0</v>
      </c>
      <c r="V72" s="30">
        <v>0</v>
      </c>
      <c r="W72" s="30">
        <v>0</v>
      </c>
      <c r="X72" s="30">
        <v>0</v>
      </c>
      <c r="Y72" s="30">
        <v>0</v>
      </c>
      <c r="Z72" s="30">
        <v>0</v>
      </c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4"/>
    </row>
    <row r="73" spans="1:102" x14ac:dyDescent="0.25">
      <c r="C73" s="29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30">
        <v>0</v>
      </c>
      <c r="T73" s="30">
        <v>0</v>
      </c>
      <c r="U73" s="30">
        <v>0</v>
      </c>
      <c r="V73" s="30">
        <v>0</v>
      </c>
      <c r="W73" s="30">
        <v>0</v>
      </c>
      <c r="X73" s="30">
        <v>0</v>
      </c>
      <c r="Y73" s="30">
        <v>0</v>
      </c>
      <c r="Z73" s="30">
        <v>0</v>
      </c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4"/>
    </row>
    <row r="74" spans="1:102" x14ac:dyDescent="0.25">
      <c r="C74" s="29">
        <v>0</v>
      </c>
      <c r="D74" s="30">
        <v>0</v>
      </c>
      <c r="E74" s="30">
        <v>1</v>
      </c>
      <c r="F74" s="30">
        <v>0</v>
      </c>
      <c r="G74" s="30">
        <v>0</v>
      </c>
      <c r="H74" s="30">
        <v>0</v>
      </c>
      <c r="I74" s="30">
        <v>0</v>
      </c>
      <c r="J74" s="30">
        <v>1</v>
      </c>
      <c r="K74" s="30">
        <v>0</v>
      </c>
      <c r="L74" s="30">
        <v>1</v>
      </c>
      <c r="M74" s="30">
        <v>0</v>
      </c>
      <c r="N74" s="30">
        <v>0</v>
      </c>
      <c r="O74" s="30">
        <v>1</v>
      </c>
      <c r="P74" s="30">
        <v>0</v>
      </c>
      <c r="Q74" s="30">
        <v>0</v>
      </c>
      <c r="R74" s="30">
        <v>0</v>
      </c>
      <c r="S74" s="30">
        <v>0</v>
      </c>
      <c r="T74" s="30">
        <v>1</v>
      </c>
      <c r="U74" s="30">
        <v>0</v>
      </c>
      <c r="V74" s="30">
        <v>0</v>
      </c>
      <c r="W74" s="30">
        <v>1</v>
      </c>
      <c r="X74" s="30">
        <v>0</v>
      </c>
      <c r="Y74" s="30">
        <v>0</v>
      </c>
      <c r="Z74" s="30">
        <v>0</v>
      </c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4"/>
    </row>
    <row r="75" spans="1:102" x14ac:dyDescent="0.25">
      <c r="C75" s="29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30">
        <v>0</v>
      </c>
      <c r="T75" s="30">
        <v>0</v>
      </c>
      <c r="U75" s="30">
        <v>0</v>
      </c>
      <c r="V75" s="30">
        <v>0</v>
      </c>
      <c r="W75" s="30">
        <v>0</v>
      </c>
      <c r="X75" s="30">
        <v>0</v>
      </c>
      <c r="Y75" s="30">
        <v>0</v>
      </c>
      <c r="Z75" s="30">
        <v>0</v>
      </c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4"/>
    </row>
    <row r="76" spans="1:102" x14ac:dyDescent="0.25">
      <c r="C76" s="29">
        <v>0</v>
      </c>
      <c r="D76" s="30">
        <v>0</v>
      </c>
      <c r="E76" s="30">
        <v>0</v>
      </c>
      <c r="F76" s="30">
        <v>0</v>
      </c>
      <c r="G76" s="30">
        <v>0</v>
      </c>
      <c r="H76" s="30">
        <v>0</v>
      </c>
      <c r="I76" s="30">
        <v>0</v>
      </c>
      <c r="J76" s="30">
        <v>0</v>
      </c>
      <c r="K76" s="30">
        <v>0</v>
      </c>
      <c r="L76" s="30">
        <v>0</v>
      </c>
      <c r="M76" s="30">
        <v>0</v>
      </c>
      <c r="N76" s="30">
        <v>0</v>
      </c>
      <c r="O76" s="30">
        <v>0</v>
      </c>
      <c r="P76" s="30">
        <v>0</v>
      </c>
      <c r="Q76" s="30">
        <v>0</v>
      </c>
      <c r="R76" s="30">
        <v>0</v>
      </c>
      <c r="S76" s="30">
        <v>0</v>
      </c>
      <c r="T76" s="30">
        <v>0</v>
      </c>
      <c r="U76" s="30">
        <v>0</v>
      </c>
      <c r="V76" s="30">
        <v>0</v>
      </c>
      <c r="W76" s="30">
        <v>0</v>
      </c>
      <c r="X76" s="30">
        <v>0</v>
      </c>
      <c r="Y76" s="30">
        <v>0</v>
      </c>
      <c r="Z76" s="30">
        <v>0</v>
      </c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4"/>
    </row>
    <row r="77" spans="1:102" x14ac:dyDescent="0.25">
      <c r="C77" s="29">
        <v>0</v>
      </c>
      <c r="D77" s="30">
        <v>0</v>
      </c>
      <c r="E77" s="30">
        <v>1</v>
      </c>
      <c r="F77" s="30">
        <v>0</v>
      </c>
      <c r="G77" s="30">
        <v>0</v>
      </c>
      <c r="H77" s="30">
        <v>0</v>
      </c>
      <c r="I77" s="30">
        <v>0</v>
      </c>
      <c r="J77" s="30">
        <v>1</v>
      </c>
      <c r="K77" s="30">
        <v>0</v>
      </c>
      <c r="L77" s="30">
        <v>1</v>
      </c>
      <c r="M77" s="30">
        <v>0</v>
      </c>
      <c r="N77" s="30">
        <v>0</v>
      </c>
      <c r="O77" s="30">
        <v>1</v>
      </c>
      <c r="P77" s="30">
        <v>0</v>
      </c>
      <c r="Q77" s="30">
        <v>0</v>
      </c>
      <c r="R77" s="30">
        <v>0</v>
      </c>
      <c r="S77" s="30">
        <v>0</v>
      </c>
      <c r="T77" s="30">
        <v>1</v>
      </c>
      <c r="U77" s="30">
        <v>0</v>
      </c>
      <c r="V77" s="30">
        <v>0</v>
      </c>
      <c r="W77" s="30">
        <v>1</v>
      </c>
      <c r="X77" s="30">
        <v>0</v>
      </c>
      <c r="Y77" s="30">
        <v>0</v>
      </c>
      <c r="Z77" s="30">
        <v>0</v>
      </c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4"/>
    </row>
    <row r="78" spans="1:102" x14ac:dyDescent="0.25">
      <c r="C78" s="29">
        <v>0</v>
      </c>
      <c r="D78" s="30">
        <v>0</v>
      </c>
      <c r="E78" s="30">
        <v>0</v>
      </c>
      <c r="F78" s="30">
        <v>0</v>
      </c>
      <c r="G78" s="30">
        <v>0</v>
      </c>
      <c r="H78" s="30">
        <v>0</v>
      </c>
      <c r="I78" s="30">
        <v>0</v>
      </c>
      <c r="J78" s="30">
        <v>0</v>
      </c>
      <c r="K78" s="30">
        <v>0</v>
      </c>
      <c r="L78" s="30">
        <v>0</v>
      </c>
      <c r="M78" s="30">
        <v>0</v>
      </c>
      <c r="N78" s="30">
        <v>0</v>
      </c>
      <c r="O78" s="30">
        <v>0</v>
      </c>
      <c r="P78" s="30">
        <v>0</v>
      </c>
      <c r="Q78" s="30">
        <v>0</v>
      </c>
      <c r="R78" s="30">
        <v>0</v>
      </c>
      <c r="S78" s="30">
        <v>0</v>
      </c>
      <c r="T78" s="30">
        <v>0</v>
      </c>
      <c r="U78" s="30">
        <v>0</v>
      </c>
      <c r="V78" s="30">
        <v>0</v>
      </c>
      <c r="W78" s="30">
        <v>0</v>
      </c>
      <c r="X78" s="30">
        <v>0</v>
      </c>
      <c r="Y78" s="30">
        <v>0</v>
      </c>
      <c r="Z78" s="30">
        <v>0</v>
      </c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4"/>
    </row>
    <row r="79" spans="1:102" x14ac:dyDescent="0.25">
      <c r="C79" s="29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30">
        <v>0</v>
      </c>
      <c r="T79" s="30">
        <v>0</v>
      </c>
      <c r="U79" s="30">
        <v>0</v>
      </c>
      <c r="V79" s="30">
        <v>0</v>
      </c>
      <c r="W79" s="30">
        <v>0</v>
      </c>
      <c r="X79" s="30">
        <v>0</v>
      </c>
      <c r="Y79" s="30">
        <v>0</v>
      </c>
      <c r="Z79" s="30">
        <v>0</v>
      </c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4"/>
    </row>
    <row r="80" spans="1:102" x14ac:dyDescent="0.25">
      <c r="C80" s="29">
        <v>0</v>
      </c>
      <c r="D80" s="30">
        <v>0</v>
      </c>
      <c r="E80" s="30">
        <v>0</v>
      </c>
      <c r="F80" s="30">
        <v>0</v>
      </c>
      <c r="G80" s="30">
        <v>0</v>
      </c>
      <c r="H80" s="30">
        <v>0</v>
      </c>
      <c r="I80" s="30">
        <v>0</v>
      </c>
      <c r="J80" s="30">
        <v>0</v>
      </c>
      <c r="K80" s="30">
        <v>0</v>
      </c>
      <c r="L80" s="30">
        <v>0</v>
      </c>
      <c r="M80" s="30">
        <v>0</v>
      </c>
      <c r="N80" s="30">
        <v>0</v>
      </c>
      <c r="O80" s="30">
        <v>0</v>
      </c>
      <c r="P80" s="30">
        <v>0</v>
      </c>
      <c r="Q80" s="30">
        <v>0</v>
      </c>
      <c r="R80" s="30">
        <v>0</v>
      </c>
      <c r="S80" s="30">
        <v>0</v>
      </c>
      <c r="T80" s="30">
        <v>0</v>
      </c>
      <c r="U80" s="30">
        <v>0</v>
      </c>
      <c r="V80" s="30">
        <v>0</v>
      </c>
      <c r="W80" s="30">
        <v>0</v>
      </c>
      <c r="X80" s="30">
        <v>0</v>
      </c>
      <c r="Y80" s="30">
        <v>0</v>
      </c>
      <c r="Z80" s="30">
        <v>0</v>
      </c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4"/>
    </row>
    <row r="81" spans="1:102" x14ac:dyDescent="0.25">
      <c r="C81" s="12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4"/>
    </row>
    <row r="82" spans="1:102" x14ac:dyDescent="0.25">
      <c r="C82" s="12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4"/>
    </row>
    <row r="83" spans="1:102" x14ac:dyDescent="0.25">
      <c r="A83" s="2"/>
      <c r="C83" s="12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4"/>
    </row>
    <row r="84" spans="1:102" x14ac:dyDescent="0.25">
      <c r="A84" s="2"/>
      <c r="C84" s="12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4"/>
    </row>
    <row r="85" spans="1:102" x14ac:dyDescent="0.25">
      <c r="A85" s="2"/>
      <c r="C85" s="12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4"/>
    </row>
    <row r="86" spans="1:102" x14ac:dyDescent="0.25">
      <c r="A86" s="2"/>
      <c r="C86" s="12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4"/>
    </row>
    <row r="87" spans="1:102" x14ac:dyDescent="0.25">
      <c r="C87" s="12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4"/>
    </row>
    <row r="88" spans="1:102" x14ac:dyDescent="0.25">
      <c r="C88" s="12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4"/>
    </row>
    <row r="89" spans="1:102" x14ac:dyDescent="0.25">
      <c r="C89" s="12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4"/>
    </row>
    <row r="90" spans="1:102" x14ac:dyDescent="0.25">
      <c r="C90" s="12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4"/>
    </row>
    <row r="91" spans="1:102" x14ac:dyDescent="0.25">
      <c r="C91" s="12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4"/>
    </row>
    <row r="92" spans="1:102" x14ac:dyDescent="0.25">
      <c r="C92" s="12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4"/>
    </row>
    <row r="93" spans="1:102" x14ac:dyDescent="0.25">
      <c r="C93" s="12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4"/>
    </row>
    <row r="94" spans="1:102" x14ac:dyDescent="0.25">
      <c r="C94" s="12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4"/>
    </row>
    <row r="95" spans="1:102" x14ac:dyDescent="0.25">
      <c r="C95" s="12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4"/>
    </row>
    <row r="96" spans="1:102" x14ac:dyDescent="0.25">
      <c r="C96" s="12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4"/>
    </row>
    <row r="97" spans="3:102" x14ac:dyDescent="0.25">
      <c r="C97" s="12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4"/>
    </row>
    <row r="98" spans="3:102" x14ac:dyDescent="0.25">
      <c r="C98" s="12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4"/>
    </row>
    <row r="99" spans="3:102" x14ac:dyDescent="0.25">
      <c r="C99" s="12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4"/>
    </row>
    <row r="100" spans="3:102" x14ac:dyDescent="0.25">
      <c r="C100" s="12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4"/>
    </row>
    <row r="101" spans="3:102" x14ac:dyDescent="0.25">
      <c r="C101" s="12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4"/>
    </row>
    <row r="102" spans="3:102" x14ac:dyDescent="0.25">
      <c r="C102" s="12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4"/>
    </row>
    <row r="103" spans="3:102" x14ac:dyDescent="0.25">
      <c r="C103" s="12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4"/>
    </row>
    <row r="104" spans="3:102" x14ac:dyDescent="0.25">
      <c r="C104" s="12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4"/>
    </row>
    <row r="105" spans="3:102" x14ac:dyDescent="0.25">
      <c r="C105" s="12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4"/>
    </row>
    <row r="106" spans="3:102" x14ac:dyDescent="0.25">
      <c r="C106" s="12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4"/>
    </row>
    <row r="107" spans="3:102" x14ac:dyDescent="0.25">
      <c r="C107" s="12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4"/>
    </row>
    <row r="108" spans="3:102" x14ac:dyDescent="0.25">
      <c r="C108" s="12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4"/>
    </row>
    <row r="109" spans="3:102" x14ac:dyDescent="0.25">
      <c r="C109" s="12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4"/>
    </row>
    <row r="110" spans="3:102" x14ac:dyDescent="0.25">
      <c r="C110" s="12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4"/>
    </row>
    <row r="111" spans="3:102" x14ac:dyDescent="0.25">
      <c r="C111" s="12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4"/>
    </row>
    <row r="112" spans="3:102" x14ac:dyDescent="0.25">
      <c r="C112" s="12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4"/>
    </row>
    <row r="113" spans="3:102" x14ac:dyDescent="0.25">
      <c r="C113" s="12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4"/>
    </row>
    <row r="114" spans="3:102" x14ac:dyDescent="0.25">
      <c r="C114" s="12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4"/>
    </row>
    <row r="115" spans="3:102" x14ac:dyDescent="0.25">
      <c r="C115" s="12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4"/>
    </row>
    <row r="116" spans="3:102" x14ac:dyDescent="0.25">
      <c r="C116" s="12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4"/>
    </row>
    <row r="117" spans="3:102" x14ac:dyDescent="0.25">
      <c r="C117" s="12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4"/>
    </row>
    <row r="118" spans="3:102" x14ac:dyDescent="0.25">
      <c r="C118" s="12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4"/>
    </row>
    <row r="119" spans="3:102" x14ac:dyDescent="0.25">
      <c r="C119" s="12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4"/>
    </row>
    <row r="120" spans="3:102" x14ac:dyDescent="0.25">
      <c r="C120" s="12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4"/>
    </row>
    <row r="121" spans="3:102" x14ac:dyDescent="0.25">
      <c r="C121" s="12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4"/>
    </row>
    <row r="122" spans="3:102" x14ac:dyDescent="0.25">
      <c r="C122" s="12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4"/>
    </row>
    <row r="123" spans="3:102" x14ac:dyDescent="0.25">
      <c r="C123" s="12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4"/>
    </row>
    <row r="124" spans="3:102" x14ac:dyDescent="0.25">
      <c r="C124" s="12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4"/>
    </row>
    <row r="125" spans="3:102" x14ac:dyDescent="0.25">
      <c r="C125" s="12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4"/>
    </row>
    <row r="126" spans="3:102" x14ac:dyDescent="0.25">
      <c r="C126" s="12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4"/>
    </row>
    <row r="127" spans="3:102" x14ac:dyDescent="0.25">
      <c r="C127" s="12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4"/>
    </row>
    <row r="128" spans="3:102" x14ac:dyDescent="0.25">
      <c r="C128" s="12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4"/>
    </row>
    <row r="129" spans="3:102" x14ac:dyDescent="0.25">
      <c r="C129" s="12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4"/>
    </row>
    <row r="130" spans="3:102" x14ac:dyDescent="0.25">
      <c r="C130" s="12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4"/>
    </row>
    <row r="131" spans="3:102" x14ac:dyDescent="0.25">
      <c r="C131" s="12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4"/>
    </row>
    <row r="132" spans="3:102" x14ac:dyDescent="0.25">
      <c r="C132" s="12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4"/>
    </row>
    <row r="133" spans="3:102" x14ac:dyDescent="0.25">
      <c r="C133" s="12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4"/>
    </row>
    <row r="134" spans="3:102" x14ac:dyDescent="0.25">
      <c r="C134" s="12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4"/>
    </row>
    <row r="135" spans="3:102" x14ac:dyDescent="0.25">
      <c r="C135" s="12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4"/>
    </row>
    <row r="136" spans="3:102" x14ac:dyDescent="0.25">
      <c r="C136" s="12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4"/>
    </row>
    <row r="137" spans="3:102" x14ac:dyDescent="0.25">
      <c r="C137" s="12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4"/>
    </row>
    <row r="138" spans="3:102" x14ac:dyDescent="0.25">
      <c r="C138" s="12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4"/>
    </row>
    <row r="139" spans="3:102" x14ac:dyDescent="0.25">
      <c r="C139" s="12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4"/>
    </row>
    <row r="140" spans="3:102" x14ac:dyDescent="0.25">
      <c r="C140" s="12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4"/>
    </row>
    <row r="141" spans="3:102" x14ac:dyDescent="0.25">
      <c r="C141" s="12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4"/>
    </row>
    <row r="142" spans="3:102" x14ac:dyDescent="0.25">
      <c r="C142" s="12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4"/>
    </row>
    <row r="143" spans="3:102" x14ac:dyDescent="0.25">
      <c r="C143" s="12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4"/>
    </row>
    <row r="144" spans="3:102" x14ac:dyDescent="0.25">
      <c r="C144" s="12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4"/>
    </row>
    <row r="145" spans="3:102" x14ac:dyDescent="0.25">
      <c r="C145" s="12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4"/>
    </row>
    <row r="146" spans="3:102" x14ac:dyDescent="0.25">
      <c r="C146" s="12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4"/>
    </row>
    <row r="147" spans="3:102" x14ac:dyDescent="0.25">
      <c r="C147" s="12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4"/>
    </row>
    <row r="148" spans="3:102" x14ac:dyDescent="0.25">
      <c r="C148" s="12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4"/>
    </row>
    <row r="149" spans="3:102" x14ac:dyDescent="0.25">
      <c r="C149" s="12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4"/>
    </row>
    <row r="150" spans="3:102" x14ac:dyDescent="0.25">
      <c r="C150" s="12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4"/>
    </row>
    <row r="151" spans="3:102" x14ac:dyDescent="0.25">
      <c r="C151" s="12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4"/>
    </row>
    <row r="152" spans="3:102" x14ac:dyDescent="0.25">
      <c r="C152" s="12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4"/>
    </row>
    <row r="153" spans="3:102" x14ac:dyDescent="0.25">
      <c r="C153" s="12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4"/>
    </row>
    <row r="154" spans="3:102" x14ac:dyDescent="0.25">
      <c r="C154" s="12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4"/>
    </row>
    <row r="155" spans="3:102" x14ac:dyDescent="0.25">
      <c r="C155" s="12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4"/>
    </row>
    <row r="156" spans="3:102" x14ac:dyDescent="0.25">
      <c r="C156" s="15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7"/>
    </row>
  </sheetData>
  <dataConsolidate/>
  <mergeCells count="4">
    <mergeCell ref="Y4:Z4"/>
    <mergeCell ref="Y1:Z1"/>
    <mergeCell ref="Y3:Z3"/>
    <mergeCell ref="Y2:Z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Y28"/>
  <sheetViews>
    <sheetView zoomScale="80" zoomScaleNormal="80" workbookViewId="0">
      <selection activeCell="Q17" sqref="Q17"/>
    </sheetView>
  </sheetViews>
  <sheetFormatPr baseColWidth="10" defaultRowHeight="15" x14ac:dyDescent="0.25"/>
  <cols>
    <col min="1" max="181" width="2.85546875" customWidth="1"/>
  </cols>
  <sheetData>
    <row r="1" spans="1:25" x14ac:dyDescent="0.25">
      <c r="A1" s="96" t="s">
        <v>49</v>
      </c>
      <c r="B1" s="97"/>
      <c r="C1" s="97"/>
      <c r="D1" s="97"/>
      <c r="E1" s="97"/>
      <c r="F1" s="97"/>
      <c r="G1" s="97"/>
      <c r="H1" s="97"/>
      <c r="I1" s="97"/>
      <c r="J1" s="98"/>
      <c r="L1" s="41" t="s">
        <v>68</v>
      </c>
      <c r="M1" s="40">
        <v>0</v>
      </c>
      <c r="N1" s="40">
        <v>1</v>
      </c>
      <c r="O1" s="40">
        <v>2</v>
      </c>
      <c r="P1" s="40">
        <v>3</v>
      </c>
      <c r="Q1" s="40">
        <v>4</v>
      </c>
      <c r="R1" s="40">
        <v>5</v>
      </c>
      <c r="S1" s="40">
        <v>6</v>
      </c>
      <c r="T1" s="40">
        <v>7</v>
      </c>
      <c r="U1" s="40">
        <v>8</v>
      </c>
      <c r="V1" s="40">
        <v>9</v>
      </c>
      <c r="W1" s="40">
        <v>10</v>
      </c>
      <c r="X1" s="40">
        <v>11</v>
      </c>
      <c r="Y1" s="40">
        <v>12</v>
      </c>
    </row>
    <row r="2" spans="1:25" x14ac:dyDescent="0.25">
      <c r="A2" s="50" t="s">
        <v>8</v>
      </c>
      <c r="B2" s="45" t="s">
        <v>9</v>
      </c>
      <c r="C2" s="45" t="s">
        <v>10</v>
      </c>
      <c r="D2" s="45" t="s">
        <v>11</v>
      </c>
      <c r="E2" s="45" t="s">
        <v>12</v>
      </c>
      <c r="F2" s="45" t="s">
        <v>53</v>
      </c>
      <c r="G2" s="45" t="s">
        <v>54</v>
      </c>
      <c r="H2" s="45" t="s">
        <v>55</v>
      </c>
      <c r="I2" s="45" t="s">
        <v>56</v>
      </c>
      <c r="J2" s="46" t="s">
        <v>57</v>
      </c>
      <c r="L2" s="42" t="s">
        <v>8</v>
      </c>
      <c r="M2" s="119" t="s">
        <v>82</v>
      </c>
      <c r="N2" s="120"/>
      <c r="O2" s="120"/>
      <c r="P2" s="120"/>
      <c r="Q2" s="120"/>
      <c r="R2" s="120"/>
      <c r="S2" s="120"/>
      <c r="T2" s="121"/>
      <c r="U2" s="51"/>
      <c r="V2" s="51"/>
      <c r="W2" s="51"/>
      <c r="X2" s="51"/>
      <c r="Y2" s="51"/>
    </row>
    <row r="3" spans="1:25" x14ac:dyDescent="0.25">
      <c r="A3" s="43">
        <v>6</v>
      </c>
      <c r="B3" s="7">
        <v>2</v>
      </c>
      <c r="C3" s="7">
        <v>5</v>
      </c>
      <c r="D3" s="7">
        <v>10</v>
      </c>
      <c r="E3" s="7">
        <v>4</v>
      </c>
      <c r="F3" s="7">
        <v>9</v>
      </c>
      <c r="G3" s="7"/>
      <c r="H3" s="7"/>
      <c r="I3" s="7"/>
      <c r="J3" s="7"/>
      <c r="L3" s="42" t="s">
        <v>9</v>
      </c>
      <c r="M3" s="119" t="s">
        <v>84</v>
      </c>
      <c r="N3" s="120"/>
      <c r="O3" s="120"/>
      <c r="P3" s="120"/>
      <c r="Q3" s="120"/>
      <c r="R3" s="120"/>
      <c r="S3" s="121"/>
      <c r="T3" s="51"/>
      <c r="U3" s="51"/>
      <c r="V3" s="51"/>
      <c r="W3" s="51"/>
      <c r="X3" s="51"/>
      <c r="Y3" s="51"/>
    </row>
    <row r="4" spans="1:25" x14ac:dyDescent="0.25">
      <c r="A4" s="43">
        <v>8</v>
      </c>
      <c r="B4" s="7"/>
      <c r="C4" s="7"/>
      <c r="D4" s="7">
        <v>1</v>
      </c>
      <c r="E4" s="7">
        <v>7</v>
      </c>
      <c r="F4" s="7">
        <v>3</v>
      </c>
      <c r="G4" s="7"/>
      <c r="H4" s="7"/>
      <c r="I4" s="7"/>
      <c r="J4" s="7"/>
      <c r="L4" s="42" t="s">
        <v>10</v>
      </c>
      <c r="M4" s="51"/>
      <c r="N4" s="51"/>
      <c r="O4" s="51"/>
      <c r="P4" s="51"/>
      <c r="Q4" s="51"/>
      <c r="R4" s="51"/>
      <c r="S4" s="51"/>
      <c r="T4" s="51"/>
      <c r="U4" s="51"/>
      <c r="V4" s="119" t="s">
        <v>81</v>
      </c>
      <c r="W4" s="120"/>
      <c r="X4" s="120"/>
      <c r="Y4" s="121"/>
    </row>
    <row r="5" spans="1:25" x14ac:dyDescent="0.25">
      <c r="A5" s="43"/>
      <c r="B5" s="7"/>
      <c r="C5" s="7"/>
      <c r="D5" s="7"/>
      <c r="E5" s="7"/>
      <c r="F5" s="7"/>
      <c r="G5" s="7"/>
      <c r="H5" s="7"/>
      <c r="I5" s="7"/>
      <c r="J5" s="7"/>
      <c r="L5" s="42" t="s">
        <v>11</v>
      </c>
      <c r="M5" s="116" t="s">
        <v>83</v>
      </c>
      <c r="N5" s="117"/>
      <c r="O5" s="117"/>
      <c r="P5" s="118"/>
      <c r="Q5" s="51"/>
      <c r="R5" s="51"/>
      <c r="S5" s="51"/>
      <c r="T5" s="51"/>
      <c r="U5" s="51"/>
      <c r="V5" s="51"/>
      <c r="W5" s="51"/>
      <c r="X5" s="51"/>
      <c r="Y5" s="51"/>
    </row>
    <row r="6" spans="1:25" x14ac:dyDescent="0.25">
      <c r="A6" s="43"/>
      <c r="B6" s="7"/>
      <c r="C6" s="7"/>
      <c r="D6" s="7"/>
      <c r="E6" s="7"/>
      <c r="F6" s="7"/>
      <c r="G6" s="7"/>
      <c r="H6" s="7"/>
      <c r="I6" s="7"/>
      <c r="J6" s="7"/>
      <c r="L6" s="42" t="s">
        <v>12</v>
      </c>
      <c r="M6" s="131" t="s">
        <v>81</v>
      </c>
      <c r="N6" s="132"/>
      <c r="O6" s="132"/>
      <c r="P6" s="132"/>
      <c r="Q6" s="133"/>
      <c r="R6" s="51"/>
      <c r="S6" s="51"/>
      <c r="T6" s="51"/>
      <c r="U6" s="51"/>
      <c r="V6" s="51"/>
      <c r="W6" s="51"/>
      <c r="X6" s="51"/>
      <c r="Y6" s="51"/>
    </row>
    <row r="7" spans="1:25" x14ac:dyDescent="0.25">
      <c r="A7" s="43"/>
      <c r="B7" s="7"/>
      <c r="C7" s="7"/>
      <c r="D7" s="7"/>
      <c r="E7" s="7"/>
      <c r="F7" s="7"/>
      <c r="G7" s="7"/>
      <c r="H7" s="7"/>
      <c r="I7" s="7"/>
      <c r="J7" s="7"/>
      <c r="L7" s="41" t="s">
        <v>53</v>
      </c>
      <c r="M7" s="40"/>
      <c r="N7" s="40"/>
      <c r="O7" s="40"/>
      <c r="P7" s="40"/>
      <c r="Q7" s="40"/>
      <c r="R7" s="40"/>
      <c r="S7" s="40"/>
      <c r="T7" s="40"/>
      <c r="U7" s="119" t="s">
        <v>83</v>
      </c>
      <c r="V7" s="120"/>
      <c r="W7" s="120"/>
      <c r="X7" s="120"/>
      <c r="Y7" s="121"/>
    </row>
    <row r="8" spans="1:25" x14ac:dyDescent="0.25">
      <c r="A8" s="43"/>
      <c r="B8" s="7"/>
      <c r="C8" s="7"/>
      <c r="D8" s="7"/>
      <c r="E8" s="7"/>
      <c r="F8" s="7"/>
      <c r="G8" s="7"/>
      <c r="H8" s="7"/>
      <c r="I8" s="7"/>
      <c r="J8" s="7"/>
      <c r="L8" s="42" t="s">
        <v>18</v>
      </c>
      <c r="M8" s="51"/>
      <c r="N8" s="34" t="s">
        <v>11</v>
      </c>
      <c r="O8" s="92" t="s">
        <v>11</v>
      </c>
      <c r="P8" s="93" t="s">
        <v>11</v>
      </c>
      <c r="Q8" s="51"/>
      <c r="R8" s="51"/>
      <c r="S8" s="51"/>
      <c r="T8" s="51"/>
      <c r="U8" s="51"/>
      <c r="V8" s="51"/>
      <c r="W8" s="51"/>
      <c r="X8" s="51"/>
      <c r="Y8" s="51"/>
    </row>
    <row r="9" spans="1:25" x14ac:dyDescent="0.25">
      <c r="A9" s="43"/>
      <c r="B9" s="7"/>
      <c r="C9" s="7"/>
      <c r="D9" s="7"/>
      <c r="E9" s="7"/>
      <c r="F9" s="7"/>
      <c r="G9" s="7"/>
      <c r="H9" s="7"/>
      <c r="I9" s="7"/>
      <c r="J9" s="7"/>
      <c r="L9" s="42" t="s">
        <v>19</v>
      </c>
      <c r="M9" s="34" t="s">
        <v>9</v>
      </c>
      <c r="N9" s="91" t="s">
        <v>9</v>
      </c>
      <c r="O9" s="51"/>
      <c r="P9" s="92" t="s">
        <v>8</v>
      </c>
      <c r="Q9" s="51"/>
      <c r="R9" s="51"/>
      <c r="S9" s="93" t="s">
        <v>8</v>
      </c>
      <c r="T9" s="51"/>
      <c r="U9" s="51"/>
      <c r="V9" s="51"/>
      <c r="W9" s="51"/>
      <c r="X9" s="51"/>
      <c r="Y9" s="51"/>
    </row>
    <row r="10" spans="1:25" x14ac:dyDescent="0.25">
      <c r="A10" s="43"/>
      <c r="B10" s="7"/>
      <c r="C10" s="7"/>
      <c r="D10" s="7"/>
      <c r="E10" s="7"/>
      <c r="F10" s="7"/>
      <c r="G10" s="7"/>
      <c r="H10" s="7"/>
      <c r="I10" s="7"/>
      <c r="J10" s="7"/>
      <c r="L10" s="42" t="s">
        <v>20</v>
      </c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34" t="s">
        <v>53</v>
      </c>
      <c r="X10" s="92" t="s">
        <v>53</v>
      </c>
      <c r="Y10" s="93" t="s">
        <v>53</v>
      </c>
    </row>
    <row r="11" spans="1:25" x14ac:dyDescent="0.25">
      <c r="A11" s="43"/>
      <c r="B11" s="7"/>
      <c r="C11" s="7"/>
      <c r="D11" s="7"/>
      <c r="E11" s="7"/>
      <c r="F11" s="7"/>
      <c r="G11" s="7"/>
      <c r="H11" s="7"/>
      <c r="I11" s="7"/>
      <c r="J11" s="7"/>
      <c r="L11" s="42" t="s">
        <v>21</v>
      </c>
      <c r="M11" s="34" t="s">
        <v>12</v>
      </c>
      <c r="N11" s="91" t="s">
        <v>12</v>
      </c>
      <c r="O11" s="51"/>
      <c r="P11" s="92" t="s">
        <v>8</v>
      </c>
      <c r="Q11" s="51"/>
      <c r="R11" s="93" t="s">
        <v>8</v>
      </c>
      <c r="S11" s="51"/>
      <c r="T11" s="51"/>
      <c r="U11" s="51"/>
      <c r="V11" s="51"/>
      <c r="W11" s="51"/>
      <c r="X11" s="51"/>
      <c r="Y11" s="51"/>
    </row>
    <row r="12" spans="1:25" x14ac:dyDescent="0.25">
      <c r="A12" s="44"/>
      <c r="B12" s="8"/>
      <c r="C12" s="8"/>
      <c r="D12" s="8"/>
      <c r="E12" s="8"/>
      <c r="F12" s="8"/>
      <c r="G12" s="8"/>
      <c r="H12" s="8"/>
      <c r="I12" s="8"/>
      <c r="J12" s="8"/>
      <c r="L12" s="42" t="s">
        <v>22</v>
      </c>
      <c r="M12" s="51"/>
      <c r="N12" s="51"/>
      <c r="O12" s="51"/>
      <c r="P12" s="51"/>
      <c r="Q12" s="51"/>
      <c r="R12" s="51"/>
      <c r="S12" s="51"/>
      <c r="T12" s="51"/>
      <c r="U12" s="51"/>
      <c r="V12" s="34" t="s">
        <v>10</v>
      </c>
      <c r="W12" s="92" t="s">
        <v>10</v>
      </c>
      <c r="X12" s="93" t="s">
        <v>10</v>
      </c>
      <c r="Y12" s="51"/>
    </row>
    <row r="13" spans="1:25" x14ac:dyDescent="0.25">
      <c r="A13" s="125" t="s">
        <v>51</v>
      </c>
      <c r="B13" s="126"/>
      <c r="C13" s="126"/>
      <c r="D13" s="126"/>
      <c r="E13" s="126"/>
      <c r="F13" s="126"/>
      <c r="G13" s="126"/>
      <c r="H13" s="126"/>
      <c r="I13" s="126"/>
      <c r="J13" s="127"/>
      <c r="L13" s="42" t="s">
        <v>23</v>
      </c>
      <c r="M13" s="34" t="s">
        <v>8</v>
      </c>
      <c r="N13" s="91" t="s">
        <v>8</v>
      </c>
      <c r="O13" s="51"/>
      <c r="P13" s="92" t="s">
        <v>8</v>
      </c>
      <c r="Q13" s="51"/>
      <c r="R13" s="51"/>
      <c r="S13" s="51"/>
      <c r="T13" s="93" t="s">
        <v>8</v>
      </c>
      <c r="U13" s="51"/>
      <c r="V13" s="51"/>
      <c r="W13" s="51"/>
      <c r="X13" s="51"/>
      <c r="Y13" s="51"/>
    </row>
    <row r="14" spans="1:25" x14ac:dyDescent="0.25">
      <c r="A14" s="6">
        <v>8</v>
      </c>
      <c r="B14" s="6">
        <v>7</v>
      </c>
      <c r="C14" s="6">
        <v>5</v>
      </c>
      <c r="D14" s="6">
        <v>1</v>
      </c>
      <c r="E14" s="6">
        <v>10</v>
      </c>
      <c r="F14" s="6">
        <v>3</v>
      </c>
      <c r="G14" s="6"/>
      <c r="H14" s="6"/>
      <c r="I14" s="6"/>
      <c r="J14" s="6"/>
      <c r="L14" s="42" t="s">
        <v>24</v>
      </c>
      <c r="M14" s="51"/>
      <c r="N14" s="51"/>
      <c r="O14" s="34" t="s">
        <v>12</v>
      </c>
      <c r="P14" s="91" t="s">
        <v>12</v>
      </c>
      <c r="Q14" s="51"/>
      <c r="R14" s="92" t="s">
        <v>9</v>
      </c>
      <c r="S14" s="93" t="s">
        <v>9</v>
      </c>
      <c r="T14" s="51"/>
      <c r="U14" s="51"/>
      <c r="V14" s="51"/>
      <c r="W14" s="51"/>
      <c r="X14" s="51"/>
      <c r="Y14" s="51"/>
    </row>
    <row r="15" spans="1:25" x14ac:dyDescent="0.25">
      <c r="A15" s="7">
        <v>4</v>
      </c>
      <c r="B15" s="7"/>
      <c r="C15" s="7">
        <v>9</v>
      </c>
      <c r="D15" s="7"/>
      <c r="E15" s="7"/>
      <c r="F15" s="7"/>
      <c r="G15" s="7"/>
      <c r="H15" s="7"/>
      <c r="I15" s="7"/>
      <c r="J15" s="7"/>
      <c r="L15" s="42" t="s">
        <v>25</v>
      </c>
      <c r="M15" s="51"/>
      <c r="N15" s="34" t="s">
        <v>8</v>
      </c>
      <c r="O15" s="91" t="s">
        <v>8</v>
      </c>
      <c r="P15" s="92" t="s">
        <v>8</v>
      </c>
      <c r="Q15" s="93" t="s">
        <v>8</v>
      </c>
      <c r="R15" s="51"/>
      <c r="S15" s="51"/>
      <c r="T15" s="51"/>
      <c r="U15" s="51"/>
      <c r="V15" s="51"/>
      <c r="W15" s="51"/>
      <c r="X15" s="51"/>
      <c r="Y15" s="51"/>
    </row>
    <row r="16" spans="1:25" x14ac:dyDescent="0.25">
      <c r="A16" s="7">
        <v>2</v>
      </c>
      <c r="B16" s="7"/>
      <c r="C16" s="7"/>
      <c r="D16" s="7"/>
      <c r="E16" s="7"/>
      <c r="F16" s="7"/>
      <c r="G16" s="7"/>
      <c r="H16" s="7"/>
      <c r="I16" s="7"/>
      <c r="J16" s="7"/>
      <c r="L16" s="42" t="s">
        <v>26</v>
      </c>
      <c r="M16" s="51"/>
      <c r="N16" s="51"/>
      <c r="O16" s="51"/>
      <c r="P16" s="51"/>
      <c r="Q16" s="51"/>
      <c r="R16" s="51"/>
      <c r="S16" s="51"/>
      <c r="T16" s="51"/>
      <c r="U16" s="34" t="s">
        <v>53</v>
      </c>
      <c r="V16" s="91" t="s">
        <v>53</v>
      </c>
      <c r="W16" s="51"/>
      <c r="X16" s="92" t="s">
        <v>10</v>
      </c>
      <c r="Y16" s="93" t="s">
        <v>10</v>
      </c>
    </row>
    <row r="17" spans="1:25" x14ac:dyDescent="0.25">
      <c r="A17" s="7">
        <v>6</v>
      </c>
      <c r="B17" s="7"/>
      <c r="C17" s="7"/>
      <c r="D17" s="7"/>
      <c r="E17" s="7"/>
      <c r="F17" s="7"/>
      <c r="G17" s="7"/>
      <c r="H17" s="7"/>
      <c r="I17" s="7"/>
      <c r="J17" s="7"/>
      <c r="L17" s="41" t="s">
        <v>27</v>
      </c>
      <c r="M17" s="40"/>
      <c r="N17" s="34" t="s">
        <v>11</v>
      </c>
      <c r="O17" s="91" t="s">
        <v>11</v>
      </c>
      <c r="P17" s="92" t="s">
        <v>12</v>
      </c>
      <c r="Q17" s="93" t="s">
        <v>12</v>
      </c>
      <c r="R17" s="40"/>
      <c r="S17" s="40"/>
      <c r="T17" s="40"/>
      <c r="U17" s="40"/>
      <c r="V17" s="40"/>
      <c r="W17" s="40"/>
      <c r="X17" s="40"/>
      <c r="Y17" s="40"/>
    </row>
    <row r="18" spans="1:25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</row>
    <row r="19" spans="1:25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</row>
    <row r="20" spans="1:25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</row>
    <row r="21" spans="1:25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</row>
    <row r="22" spans="1:25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</row>
    <row r="23" spans="1:25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</row>
    <row r="25" spans="1:25" x14ac:dyDescent="0.25">
      <c r="C25" s="5"/>
      <c r="D25" t="s">
        <v>69</v>
      </c>
    </row>
    <row r="26" spans="1:25" x14ac:dyDescent="0.25">
      <c r="C26" s="1"/>
      <c r="D26" t="s">
        <v>70</v>
      </c>
    </row>
    <row r="27" spans="1:25" x14ac:dyDescent="0.25">
      <c r="C27" s="3"/>
      <c r="D27" t="s">
        <v>71</v>
      </c>
    </row>
    <row r="28" spans="1:25" x14ac:dyDescent="0.25">
      <c r="C28" s="9"/>
      <c r="D28" t="s">
        <v>72</v>
      </c>
    </row>
  </sheetData>
  <mergeCells count="8">
    <mergeCell ref="A13:J13"/>
    <mergeCell ref="M2:T2"/>
    <mergeCell ref="M3:S3"/>
    <mergeCell ref="V4:Y4"/>
    <mergeCell ref="M5:P5"/>
    <mergeCell ref="M6:Q6"/>
    <mergeCell ref="U7:Y7"/>
    <mergeCell ref="A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I28"/>
  <sheetViews>
    <sheetView zoomScale="70" zoomScaleNormal="70" workbookViewId="0">
      <selection activeCell="U27" sqref="U27"/>
    </sheetView>
  </sheetViews>
  <sheetFormatPr baseColWidth="10" defaultRowHeight="15" x14ac:dyDescent="0.25"/>
  <cols>
    <col min="1" max="181" width="2.85546875" customWidth="1"/>
  </cols>
  <sheetData>
    <row r="1" spans="1:61" x14ac:dyDescent="0.25">
      <c r="A1" s="96" t="s">
        <v>49</v>
      </c>
      <c r="B1" s="97"/>
      <c r="C1" s="97"/>
      <c r="D1" s="97"/>
      <c r="E1" s="97"/>
      <c r="F1" s="97"/>
      <c r="G1" s="97"/>
      <c r="H1" s="97"/>
      <c r="I1" s="97"/>
      <c r="J1" s="98"/>
      <c r="L1" s="41" t="s">
        <v>68</v>
      </c>
      <c r="M1" s="40">
        <v>0</v>
      </c>
      <c r="N1" s="40">
        <v>1</v>
      </c>
      <c r="O1" s="40">
        <v>2</v>
      </c>
      <c r="P1" s="40">
        <v>3</v>
      </c>
      <c r="Q1" s="40">
        <v>4</v>
      </c>
      <c r="R1" s="40">
        <v>5</v>
      </c>
      <c r="S1" s="40">
        <v>6</v>
      </c>
      <c r="T1" s="40">
        <v>7</v>
      </c>
      <c r="U1" s="40">
        <v>8</v>
      </c>
      <c r="V1" s="40">
        <v>9</v>
      </c>
      <c r="W1" s="40">
        <v>10</v>
      </c>
      <c r="X1" s="40">
        <v>11</v>
      </c>
      <c r="Y1" s="40">
        <v>12</v>
      </c>
      <c r="Z1" s="40">
        <v>13</v>
      </c>
      <c r="AA1" s="40">
        <v>14</v>
      </c>
      <c r="AB1" s="40">
        <v>15</v>
      </c>
      <c r="AC1" s="40">
        <v>16</v>
      </c>
      <c r="AD1" s="40">
        <v>17</v>
      </c>
      <c r="AE1" s="40">
        <v>18</v>
      </c>
      <c r="AF1" s="40">
        <v>19</v>
      </c>
      <c r="AG1" s="40">
        <v>20</v>
      </c>
      <c r="AH1" s="40">
        <v>21</v>
      </c>
      <c r="AI1" s="40">
        <v>22</v>
      </c>
      <c r="AJ1" s="40">
        <v>23</v>
      </c>
      <c r="AK1" s="40">
        <v>24</v>
      </c>
      <c r="AL1" s="40">
        <v>25</v>
      </c>
      <c r="AM1" s="40">
        <v>26</v>
      </c>
      <c r="AN1" s="40">
        <v>27</v>
      </c>
      <c r="AO1" s="40">
        <v>28</v>
      </c>
      <c r="AP1" s="40">
        <v>29</v>
      </c>
      <c r="AQ1" s="40">
        <v>30</v>
      </c>
      <c r="AR1" s="40">
        <v>31</v>
      </c>
      <c r="AS1" s="40">
        <v>32</v>
      </c>
      <c r="AT1" s="40">
        <v>33</v>
      </c>
      <c r="AU1" s="40">
        <v>34</v>
      </c>
      <c r="AV1" s="40">
        <v>35</v>
      </c>
      <c r="AW1" s="40">
        <v>36</v>
      </c>
      <c r="AX1" s="40">
        <v>37</v>
      </c>
      <c r="AY1" s="40">
        <v>38</v>
      </c>
      <c r="AZ1" s="40">
        <v>39</v>
      </c>
      <c r="BA1" s="40">
        <v>40</v>
      </c>
      <c r="BB1" s="40">
        <v>41</v>
      </c>
      <c r="BC1" s="40">
        <v>42</v>
      </c>
      <c r="BD1" s="40">
        <v>43</v>
      </c>
      <c r="BE1" s="40">
        <v>44</v>
      </c>
      <c r="BF1" s="40">
        <v>45</v>
      </c>
      <c r="BG1" s="40">
        <v>46</v>
      </c>
      <c r="BH1" s="40">
        <v>47</v>
      </c>
      <c r="BI1" s="40">
        <v>48</v>
      </c>
    </row>
    <row r="2" spans="1:61" x14ac:dyDescent="0.25">
      <c r="A2" s="50" t="s">
        <v>8</v>
      </c>
      <c r="B2" s="45" t="s">
        <v>9</v>
      </c>
      <c r="C2" s="45" t="s">
        <v>10</v>
      </c>
      <c r="D2" s="45" t="s">
        <v>11</v>
      </c>
      <c r="E2" s="45" t="s">
        <v>12</v>
      </c>
      <c r="F2" s="45" t="s">
        <v>53</v>
      </c>
      <c r="G2" s="45" t="s">
        <v>54</v>
      </c>
      <c r="H2" s="45" t="s">
        <v>55</v>
      </c>
      <c r="I2" s="45" t="s">
        <v>56</v>
      </c>
      <c r="J2" s="46" t="s">
        <v>57</v>
      </c>
      <c r="L2" s="42" t="s">
        <v>8</v>
      </c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128" t="s">
        <v>84</v>
      </c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30"/>
    </row>
    <row r="3" spans="1:61" x14ac:dyDescent="0.25">
      <c r="A3" s="43">
        <v>2</v>
      </c>
      <c r="B3" s="7">
        <v>3</v>
      </c>
      <c r="C3" s="7">
        <v>10</v>
      </c>
      <c r="D3" s="7">
        <v>1</v>
      </c>
      <c r="E3" s="7">
        <v>4</v>
      </c>
      <c r="F3" s="7">
        <v>5</v>
      </c>
      <c r="G3" s="7"/>
      <c r="H3" s="7"/>
      <c r="I3" s="7"/>
      <c r="J3" s="7"/>
      <c r="L3" s="42" t="s">
        <v>9</v>
      </c>
      <c r="M3" s="128" t="s">
        <v>84</v>
      </c>
      <c r="N3" s="129"/>
      <c r="O3" s="129"/>
      <c r="P3" s="129"/>
      <c r="Q3" s="129"/>
      <c r="R3" s="129"/>
      <c r="S3" s="130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</row>
    <row r="4" spans="1:61" x14ac:dyDescent="0.25">
      <c r="A4" s="43"/>
      <c r="B4" s="7">
        <v>6</v>
      </c>
      <c r="C4" s="7">
        <v>9</v>
      </c>
      <c r="D4" s="7"/>
      <c r="E4" s="7">
        <v>8</v>
      </c>
      <c r="F4" s="7">
        <v>7</v>
      </c>
      <c r="G4" s="7"/>
      <c r="H4" s="7"/>
      <c r="I4" s="7"/>
      <c r="J4" s="7"/>
      <c r="L4" s="42" t="s">
        <v>10</v>
      </c>
      <c r="M4" s="128" t="s">
        <v>81</v>
      </c>
      <c r="N4" s="129"/>
      <c r="O4" s="129"/>
      <c r="P4" s="130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  <c r="BD4" s="51"/>
      <c r="BE4" s="51"/>
      <c r="BF4" s="51"/>
      <c r="BG4" s="51"/>
      <c r="BH4" s="51"/>
      <c r="BI4" s="51"/>
    </row>
    <row r="5" spans="1:61" x14ac:dyDescent="0.25">
      <c r="A5" s="43"/>
      <c r="B5" s="7"/>
      <c r="C5" s="7"/>
      <c r="D5" s="7"/>
      <c r="E5" s="7"/>
      <c r="F5" s="7"/>
      <c r="G5" s="7"/>
      <c r="H5" s="7"/>
      <c r="I5" s="7"/>
      <c r="J5" s="7"/>
      <c r="L5" s="42" t="s">
        <v>11</v>
      </c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113" t="s">
        <v>84</v>
      </c>
      <c r="Y5" s="114"/>
      <c r="Z5" s="115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</row>
    <row r="6" spans="1:61" x14ac:dyDescent="0.25">
      <c r="A6" s="43"/>
      <c r="B6" s="7"/>
      <c r="C6" s="7"/>
      <c r="D6" s="7"/>
      <c r="E6" s="7"/>
      <c r="F6" s="7"/>
      <c r="G6" s="7"/>
      <c r="H6" s="7"/>
      <c r="I6" s="7"/>
      <c r="J6" s="7"/>
      <c r="L6" s="42" t="s">
        <v>12</v>
      </c>
      <c r="M6" s="122" t="s">
        <v>82</v>
      </c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4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</row>
    <row r="7" spans="1:61" x14ac:dyDescent="0.25">
      <c r="A7" s="43"/>
      <c r="B7" s="7"/>
      <c r="C7" s="7"/>
      <c r="D7" s="7"/>
      <c r="E7" s="7"/>
      <c r="F7" s="7"/>
      <c r="G7" s="7"/>
      <c r="H7" s="7"/>
      <c r="I7" s="7"/>
      <c r="J7" s="7"/>
      <c r="L7" s="41" t="s">
        <v>53</v>
      </c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128" t="s">
        <v>84</v>
      </c>
      <c r="AF7" s="129"/>
      <c r="AG7" s="129"/>
      <c r="AH7" s="129"/>
      <c r="AI7" s="13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</row>
    <row r="8" spans="1:61" x14ac:dyDescent="0.25">
      <c r="A8" s="43"/>
      <c r="B8" s="7"/>
      <c r="C8" s="7"/>
      <c r="D8" s="7"/>
      <c r="E8" s="7"/>
      <c r="F8" s="7"/>
      <c r="G8" s="7"/>
      <c r="H8" s="7"/>
      <c r="I8" s="7"/>
      <c r="J8" s="7"/>
      <c r="L8" s="42" t="s">
        <v>18</v>
      </c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34" t="s">
        <v>11</v>
      </c>
      <c r="Y8" s="92" t="s">
        <v>11</v>
      </c>
      <c r="Z8" s="93" t="s">
        <v>11</v>
      </c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51"/>
      <c r="BF8" s="51"/>
      <c r="BG8" s="51"/>
      <c r="BH8" s="51"/>
      <c r="BI8" s="51"/>
    </row>
    <row r="9" spans="1:61" x14ac:dyDescent="0.25">
      <c r="A9" s="43"/>
      <c r="B9" s="7"/>
      <c r="C9" s="7"/>
      <c r="D9" s="7"/>
      <c r="E9" s="7"/>
      <c r="F9" s="7"/>
      <c r="G9" s="7"/>
      <c r="H9" s="7"/>
      <c r="I9" s="7"/>
      <c r="J9" s="7"/>
      <c r="L9" s="42" t="s">
        <v>19</v>
      </c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34" t="s">
        <v>8</v>
      </c>
      <c r="AO9" s="91" t="s">
        <v>8</v>
      </c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1"/>
      <c r="BC9" s="51"/>
      <c r="BD9" s="51"/>
      <c r="BE9" s="51"/>
      <c r="BF9" s="51"/>
      <c r="BG9" s="51"/>
      <c r="BH9" s="92" t="s">
        <v>8</v>
      </c>
      <c r="BI9" s="93" t="s">
        <v>8</v>
      </c>
    </row>
    <row r="10" spans="1:61" x14ac:dyDescent="0.25">
      <c r="A10" s="43"/>
      <c r="B10" s="7"/>
      <c r="C10" s="7"/>
      <c r="D10" s="7"/>
      <c r="E10" s="7"/>
      <c r="F10" s="7"/>
      <c r="G10" s="7"/>
      <c r="H10" s="7"/>
      <c r="I10" s="7"/>
      <c r="J10" s="7"/>
      <c r="L10" s="42" t="s">
        <v>20</v>
      </c>
      <c r="M10" s="34" t="s">
        <v>9</v>
      </c>
      <c r="N10" s="91" t="s">
        <v>9</v>
      </c>
      <c r="O10" s="51"/>
      <c r="P10" s="92" t="s">
        <v>9</v>
      </c>
      <c r="Q10" s="51"/>
      <c r="R10" s="93" t="s">
        <v>9</v>
      </c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F10" s="51"/>
      <c r="BG10" s="51"/>
      <c r="BH10" s="51"/>
      <c r="BI10" s="51"/>
    </row>
    <row r="11" spans="1:61" x14ac:dyDescent="0.25">
      <c r="A11" s="43"/>
      <c r="B11" s="7"/>
      <c r="C11" s="7"/>
      <c r="D11" s="7"/>
      <c r="E11" s="7"/>
      <c r="F11" s="7"/>
      <c r="G11" s="7"/>
      <c r="H11" s="7"/>
      <c r="I11" s="7"/>
      <c r="J11" s="7"/>
      <c r="L11" s="42" t="s">
        <v>21</v>
      </c>
      <c r="M11" s="34" t="s">
        <v>12</v>
      </c>
      <c r="N11" s="91" t="s">
        <v>12</v>
      </c>
      <c r="O11" s="51"/>
      <c r="P11" s="92" t="s">
        <v>9</v>
      </c>
      <c r="Q11" s="51"/>
      <c r="R11" s="51"/>
      <c r="S11" s="93" t="s">
        <v>9</v>
      </c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</row>
    <row r="12" spans="1:61" x14ac:dyDescent="0.25">
      <c r="A12" s="44"/>
      <c r="B12" s="8"/>
      <c r="C12" s="8"/>
      <c r="D12" s="8"/>
      <c r="E12" s="8"/>
      <c r="F12" s="8"/>
      <c r="G12" s="8"/>
      <c r="H12" s="8"/>
      <c r="I12" s="8"/>
      <c r="J12" s="8"/>
      <c r="L12" s="42" t="s">
        <v>22</v>
      </c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34" t="s">
        <v>53</v>
      </c>
      <c r="AN12" s="91" t="s">
        <v>53</v>
      </c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92" t="s">
        <v>8</v>
      </c>
      <c r="BH12" s="93" t="s">
        <v>8</v>
      </c>
      <c r="BI12" s="51"/>
    </row>
    <row r="13" spans="1:61" x14ac:dyDescent="0.25">
      <c r="A13" s="125" t="s">
        <v>51</v>
      </c>
      <c r="B13" s="126"/>
      <c r="C13" s="126"/>
      <c r="D13" s="126"/>
      <c r="E13" s="126"/>
      <c r="F13" s="126"/>
      <c r="G13" s="126"/>
      <c r="H13" s="126"/>
      <c r="I13" s="126"/>
      <c r="J13" s="127"/>
      <c r="L13" s="42" t="s">
        <v>23</v>
      </c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34" t="s">
        <v>9</v>
      </c>
      <c r="AH13" s="91" t="s">
        <v>9</v>
      </c>
      <c r="AI13" s="51"/>
      <c r="AJ13" s="51"/>
      <c r="AK13" s="51"/>
      <c r="AL13" s="51"/>
      <c r="AM13" s="51"/>
      <c r="AN13" s="51"/>
      <c r="AO13" s="51"/>
      <c r="AP13" s="92" t="s">
        <v>12</v>
      </c>
      <c r="AQ13" s="93" t="s">
        <v>12</v>
      </c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</row>
    <row r="14" spans="1:61" x14ac:dyDescent="0.25">
      <c r="A14" s="6">
        <v>5</v>
      </c>
      <c r="B14" s="6">
        <v>10</v>
      </c>
      <c r="C14" s="6">
        <v>9</v>
      </c>
      <c r="D14" s="6">
        <v>1</v>
      </c>
      <c r="E14" s="6">
        <v>6</v>
      </c>
      <c r="F14" s="6">
        <v>7</v>
      </c>
      <c r="G14" s="6"/>
      <c r="H14" s="6"/>
      <c r="I14" s="6"/>
      <c r="J14" s="6"/>
      <c r="L14" s="42" t="s">
        <v>24</v>
      </c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34" t="s">
        <v>53</v>
      </c>
      <c r="AG14" s="92" t="s">
        <v>53</v>
      </c>
      <c r="AH14" s="93" t="s">
        <v>53</v>
      </c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</row>
    <row r="15" spans="1:61" x14ac:dyDescent="0.25">
      <c r="A15" s="7">
        <v>2</v>
      </c>
      <c r="B15" s="7">
        <v>3</v>
      </c>
      <c r="C15" s="7"/>
      <c r="D15" s="7"/>
      <c r="E15" s="7"/>
      <c r="F15" s="7">
        <v>8</v>
      </c>
      <c r="G15" s="7"/>
      <c r="H15" s="7"/>
      <c r="I15" s="7"/>
      <c r="J15" s="7"/>
      <c r="L15" s="42" t="s">
        <v>25</v>
      </c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34" t="s">
        <v>12</v>
      </c>
      <c r="AE15" s="91" t="s">
        <v>12</v>
      </c>
      <c r="AF15" s="51"/>
      <c r="AG15" s="92" t="s">
        <v>53</v>
      </c>
      <c r="AH15" s="51"/>
      <c r="AI15" s="93" t="s">
        <v>53</v>
      </c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</row>
    <row r="16" spans="1:61" x14ac:dyDescent="0.25">
      <c r="A16" s="7"/>
      <c r="B16" s="7">
        <v>4</v>
      </c>
      <c r="C16" s="7"/>
      <c r="D16" s="7"/>
      <c r="E16" s="7"/>
      <c r="F16" s="7"/>
      <c r="G16" s="7"/>
      <c r="H16" s="7"/>
      <c r="I16" s="7"/>
      <c r="J16" s="7"/>
      <c r="L16" s="42" t="s">
        <v>26</v>
      </c>
      <c r="M16" s="51"/>
      <c r="N16" s="34" t="s">
        <v>10</v>
      </c>
      <c r="O16" s="92" t="s">
        <v>10</v>
      </c>
      <c r="P16" s="93" t="s">
        <v>10</v>
      </c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</row>
    <row r="17" spans="1:6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L17" s="41" t="s">
        <v>27</v>
      </c>
      <c r="M17" s="40"/>
      <c r="N17" s="34" t="s">
        <v>10</v>
      </c>
      <c r="O17" s="91" t="s">
        <v>10</v>
      </c>
      <c r="P17" s="92" t="s">
        <v>9</v>
      </c>
      <c r="Q17" s="93" t="s">
        <v>9</v>
      </c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</row>
    <row r="18" spans="1:6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</row>
    <row r="19" spans="1:6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</row>
    <row r="20" spans="1:6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</row>
    <row r="21" spans="1:6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</row>
    <row r="22" spans="1:6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</row>
    <row r="23" spans="1:61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</row>
    <row r="25" spans="1:61" x14ac:dyDescent="0.25">
      <c r="C25" s="5"/>
      <c r="D25" t="s">
        <v>69</v>
      </c>
    </row>
    <row r="26" spans="1:61" x14ac:dyDescent="0.25">
      <c r="C26" s="1"/>
      <c r="D26" t="s">
        <v>70</v>
      </c>
    </row>
    <row r="27" spans="1:61" x14ac:dyDescent="0.25">
      <c r="C27" s="3"/>
      <c r="D27" t="s">
        <v>71</v>
      </c>
    </row>
    <row r="28" spans="1:61" x14ac:dyDescent="0.25">
      <c r="C28" s="9"/>
      <c r="D28" t="s">
        <v>72</v>
      </c>
    </row>
  </sheetData>
  <mergeCells count="8">
    <mergeCell ref="AE7:AI7"/>
    <mergeCell ref="A13:J13"/>
    <mergeCell ref="A1:J1"/>
    <mergeCell ref="AN2:BI2"/>
    <mergeCell ref="M3:S3"/>
    <mergeCell ref="M4:P4"/>
    <mergeCell ref="X5:Z5"/>
    <mergeCell ref="M6:AQ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X28"/>
  <sheetViews>
    <sheetView workbookViewId="0">
      <selection activeCell="AB13" sqref="AB13"/>
    </sheetView>
  </sheetViews>
  <sheetFormatPr baseColWidth="10" defaultRowHeight="15" x14ac:dyDescent="0.25"/>
  <cols>
    <col min="1" max="181" width="2.85546875" customWidth="1"/>
  </cols>
  <sheetData>
    <row r="1" spans="1:24" x14ac:dyDescent="0.25">
      <c r="A1" s="96" t="s">
        <v>49</v>
      </c>
      <c r="B1" s="97"/>
      <c r="C1" s="97"/>
      <c r="D1" s="97"/>
      <c r="E1" s="97"/>
      <c r="F1" s="97"/>
      <c r="G1" s="97"/>
      <c r="H1" s="97"/>
      <c r="I1" s="97"/>
      <c r="J1" s="98"/>
      <c r="L1" s="41" t="s">
        <v>68</v>
      </c>
      <c r="M1" s="40">
        <v>0</v>
      </c>
      <c r="N1" s="40">
        <v>1</v>
      </c>
      <c r="O1" s="40">
        <v>2</v>
      </c>
      <c r="P1" s="40">
        <v>3</v>
      </c>
      <c r="Q1" s="40">
        <v>4</v>
      </c>
      <c r="R1" s="40">
        <v>5</v>
      </c>
      <c r="S1" s="40">
        <v>6</v>
      </c>
      <c r="T1" s="40">
        <v>7</v>
      </c>
      <c r="U1" s="40">
        <v>8</v>
      </c>
      <c r="V1" s="40">
        <v>9</v>
      </c>
      <c r="W1" s="40">
        <v>10</v>
      </c>
      <c r="X1" s="40">
        <v>11</v>
      </c>
    </row>
    <row r="2" spans="1:24" x14ac:dyDescent="0.25">
      <c r="A2" s="50" t="s">
        <v>8</v>
      </c>
      <c r="B2" s="45" t="s">
        <v>9</v>
      </c>
      <c r="C2" s="45" t="s">
        <v>10</v>
      </c>
      <c r="D2" s="45" t="s">
        <v>11</v>
      </c>
      <c r="E2" s="45" t="s">
        <v>12</v>
      </c>
      <c r="F2" s="45" t="s">
        <v>53</v>
      </c>
      <c r="G2" s="45" t="s">
        <v>54</v>
      </c>
      <c r="H2" s="45" t="s">
        <v>55</v>
      </c>
      <c r="I2" s="45" t="s">
        <v>56</v>
      </c>
      <c r="J2" s="46" t="s">
        <v>57</v>
      </c>
      <c r="L2" s="42" t="s">
        <v>8</v>
      </c>
      <c r="M2" s="51"/>
      <c r="N2" s="51"/>
      <c r="O2" s="51"/>
      <c r="P2" s="51"/>
      <c r="Q2" s="51"/>
      <c r="R2" s="51"/>
      <c r="S2" s="51"/>
      <c r="T2" s="51"/>
      <c r="U2" s="128" t="s">
        <v>84</v>
      </c>
      <c r="V2" s="129"/>
      <c r="W2" s="129"/>
      <c r="X2" s="130"/>
    </row>
    <row r="3" spans="1:24" x14ac:dyDescent="0.25">
      <c r="A3" s="43">
        <v>2</v>
      </c>
      <c r="B3" s="7">
        <v>3</v>
      </c>
      <c r="C3" s="7">
        <v>10</v>
      </c>
      <c r="D3" s="7">
        <v>1</v>
      </c>
      <c r="E3" s="7">
        <v>4</v>
      </c>
      <c r="F3" s="7">
        <v>5</v>
      </c>
      <c r="G3" s="7"/>
      <c r="H3" s="7"/>
      <c r="I3" s="7"/>
      <c r="J3" s="7"/>
      <c r="L3" s="42" t="s">
        <v>9</v>
      </c>
      <c r="M3" s="128" t="s">
        <v>81</v>
      </c>
      <c r="N3" s="129"/>
      <c r="O3" s="129"/>
      <c r="P3" s="129"/>
      <c r="Q3" s="129"/>
      <c r="R3" s="129"/>
      <c r="S3" s="130"/>
      <c r="T3" s="51"/>
      <c r="U3" s="51"/>
      <c r="V3" s="51"/>
      <c r="W3" s="51"/>
      <c r="X3" s="51"/>
    </row>
    <row r="4" spans="1:24" x14ac:dyDescent="0.25">
      <c r="A4" s="43"/>
      <c r="B4" s="7">
        <v>6</v>
      </c>
      <c r="C4" s="7">
        <v>9</v>
      </c>
      <c r="D4" s="7"/>
      <c r="E4" s="7">
        <v>8</v>
      </c>
      <c r="F4" s="7">
        <v>7</v>
      </c>
      <c r="G4" s="7"/>
      <c r="H4" s="7"/>
      <c r="I4" s="7"/>
      <c r="J4" s="7"/>
      <c r="L4" s="42" t="s">
        <v>10</v>
      </c>
      <c r="M4" s="128" t="s">
        <v>84</v>
      </c>
      <c r="N4" s="129"/>
      <c r="O4" s="129"/>
      <c r="P4" s="130"/>
      <c r="Q4" s="51"/>
      <c r="R4" s="51"/>
      <c r="S4" s="51"/>
      <c r="T4" s="51"/>
      <c r="U4" s="51"/>
      <c r="V4" s="51"/>
      <c r="W4" s="51"/>
      <c r="X4" s="51"/>
    </row>
    <row r="5" spans="1:24" x14ac:dyDescent="0.25">
      <c r="A5" s="43"/>
      <c r="B5" s="7"/>
      <c r="C5" s="7"/>
      <c r="D5" s="7"/>
      <c r="E5" s="7"/>
      <c r="F5" s="7"/>
      <c r="G5" s="7"/>
      <c r="H5" s="7"/>
      <c r="I5" s="7"/>
      <c r="J5" s="7"/>
      <c r="L5" s="42" t="s">
        <v>11</v>
      </c>
      <c r="M5" s="51"/>
      <c r="N5" s="51"/>
      <c r="O5" s="51"/>
      <c r="P5" s="51"/>
      <c r="Q5" s="51"/>
      <c r="R5" s="51"/>
      <c r="S5" s="51"/>
      <c r="T5" s="51"/>
      <c r="U5" s="51"/>
      <c r="V5" s="128" t="s">
        <v>83</v>
      </c>
      <c r="W5" s="129"/>
      <c r="X5" s="130"/>
    </row>
    <row r="6" spans="1:24" x14ac:dyDescent="0.25">
      <c r="A6" s="43"/>
      <c r="B6" s="7"/>
      <c r="C6" s="7"/>
      <c r="D6" s="7"/>
      <c r="E6" s="7"/>
      <c r="F6" s="7"/>
      <c r="G6" s="7"/>
      <c r="H6" s="7"/>
      <c r="I6" s="7"/>
      <c r="J6" s="7"/>
      <c r="L6" s="42" t="s">
        <v>12</v>
      </c>
      <c r="M6" s="113" t="s">
        <v>83</v>
      </c>
      <c r="N6" s="114"/>
      <c r="O6" s="114"/>
      <c r="P6" s="114"/>
      <c r="Q6" s="115"/>
      <c r="R6" s="51"/>
      <c r="S6" s="51"/>
      <c r="T6" s="51"/>
      <c r="U6" s="51"/>
      <c r="V6" s="51"/>
      <c r="W6" s="51"/>
      <c r="X6" s="51"/>
    </row>
    <row r="7" spans="1:24" x14ac:dyDescent="0.25">
      <c r="A7" s="43"/>
      <c r="B7" s="7"/>
      <c r="C7" s="7"/>
      <c r="D7" s="7"/>
      <c r="E7" s="7"/>
      <c r="F7" s="7"/>
      <c r="G7" s="7"/>
      <c r="H7" s="7"/>
      <c r="I7" s="7"/>
      <c r="J7" s="7"/>
      <c r="L7" s="41" t="s">
        <v>53</v>
      </c>
      <c r="M7" s="122" t="s">
        <v>82</v>
      </c>
      <c r="N7" s="123"/>
      <c r="O7" s="123"/>
      <c r="P7" s="123"/>
      <c r="Q7" s="123"/>
      <c r="R7" s="124"/>
      <c r="S7" s="40"/>
      <c r="T7" s="40"/>
      <c r="U7" s="40"/>
      <c r="V7" s="40"/>
      <c r="W7" s="40"/>
      <c r="X7" s="40"/>
    </row>
    <row r="8" spans="1:24" x14ac:dyDescent="0.25">
      <c r="A8" s="43"/>
      <c r="B8" s="7"/>
      <c r="C8" s="7"/>
      <c r="D8" s="7"/>
      <c r="E8" s="7"/>
      <c r="F8" s="7"/>
      <c r="G8" s="7"/>
      <c r="H8" s="7"/>
      <c r="I8" s="7"/>
      <c r="J8" s="7"/>
      <c r="L8" s="42" t="s">
        <v>18</v>
      </c>
      <c r="M8" s="51"/>
      <c r="N8" s="51"/>
      <c r="O8" s="51"/>
      <c r="P8" s="51"/>
      <c r="Q8" s="51"/>
      <c r="R8" s="51"/>
      <c r="S8" s="51"/>
      <c r="T8" s="51"/>
      <c r="U8" s="51"/>
      <c r="V8" s="34" t="s">
        <v>11</v>
      </c>
      <c r="W8" s="92" t="s">
        <v>11</v>
      </c>
      <c r="X8" s="93" t="s">
        <v>11</v>
      </c>
    </row>
    <row r="9" spans="1:24" x14ac:dyDescent="0.25">
      <c r="A9" s="43"/>
      <c r="B9" s="7"/>
      <c r="C9" s="7"/>
      <c r="D9" s="7"/>
      <c r="E9" s="7"/>
      <c r="F9" s="7"/>
      <c r="G9" s="7"/>
      <c r="H9" s="7"/>
      <c r="I9" s="7"/>
      <c r="J9" s="7"/>
      <c r="L9" s="42" t="s">
        <v>19</v>
      </c>
      <c r="M9" s="51"/>
      <c r="N9" s="51"/>
      <c r="O9" s="51"/>
      <c r="P9" s="51"/>
      <c r="Q9" s="51"/>
      <c r="R9" s="51"/>
      <c r="S9" s="51"/>
      <c r="T9" s="51"/>
      <c r="U9" s="34" t="s">
        <v>8</v>
      </c>
      <c r="V9" s="91" t="s">
        <v>8</v>
      </c>
      <c r="W9" s="92" t="s">
        <v>8</v>
      </c>
      <c r="X9" s="93" t="s">
        <v>8</v>
      </c>
    </row>
    <row r="10" spans="1:24" x14ac:dyDescent="0.25">
      <c r="A10" s="43"/>
      <c r="B10" s="7"/>
      <c r="C10" s="7"/>
      <c r="D10" s="7"/>
      <c r="E10" s="7"/>
      <c r="F10" s="7"/>
      <c r="G10" s="7"/>
      <c r="H10" s="7"/>
      <c r="I10" s="7"/>
      <c r="J10" s="7"/>
      <c r="L10" s="42" t="s">
        <v>20</v>
      </c>
      <c r="M10" s="34" t="s">
        <v>9</v>
      </c>
      <c r="N10" s="91" t="s">
        <v>9</v>
      </c>
      <c r="O10" s="51"/>
      <c r="P10" s="92" t="s">
        <v>9</v>
      </c>
      <c r="Q10" s="51"/>
      <c r="R10" s="93" t="s">
        <v>9</v>
      </c>
      <c r="S10" s="51"/>
      <c r="T10" s="51"/>
      <c r="U10" s="51"/>
      <c r="V10" s="51"/>
      <c r="W10" s="51"/>
      <c r="X10" s="51"/>
    </row>
    <row r="11" spans="1:24" x14ac:dyDescent="0.25">
      <c r="A11" s="43"/>
      <c r="B11" s="7"/>
      <c r="C11" s="7"/>
      <c r="D11" s="7"/>
      <c r="E11" s="7"/>
      <c r="F11" s="7"/>
      <c r="G11" s="7"/>
      <c r="H11" s="7"/>
      <c r="I11" s="7"/>
      <c r="J11" s="7"/>
      <c r="L11" s="42" t="s">
        <v>21</v>
      </c>
      <c r="M11" s="34" t="s">
        <v>12</v>
      </c>
      <c r="N11" s="91" t="s">
        <v>12</v>
      </c>
      <c r="O11" s="51"/>
      <c r="P11" s="92" t="s">
        <v>9</v>
      </c>
      <c r="Q11" s="51"/>
      <c r="R11" s="51"/>
      <c r="S11" s="93" t="s">
        <v>9</v>
      </c>
      <c r="T11" s="51"/>
      <c r="U11" s="51"/>
      <c r="V11" s="51"/>
      <c r="W11" s="51"/>
      <c r="X11" s="51"/>
    </row>
    <row r="12" spans="1:24" x14ac:dyDescent="0.25">
      <c r="A12" s="44"/>
      <c r="B12" s="8"/>
      <c r="C12" s="8"/>
      <c r="D12" s="8"/>
      <c r="E12" s="8"/>
      <c r="F12" s="8"/>
      <c r="G12" s="8"/>
      <c r="H12" s="8"/>
      <c r="I12" s="8"/>
      <c r="J12" s="8"/>
      <c r="L12" s="42" t="s">
        <v>22</v>
      </c>
      <c r="M12" s="51"/>
      <c r="N12" s="51"/>
      <c r="O12" s="51"/>
      <c r="P12" s="51"/>
      <c r="Q12" s="51"/>
      <c r="R12" s="51"/>
      <c r="S12" s="51"/>
      <c r="T12" s="34" t="s">
        <v>53</v>
      </c>
      <c r="U12" s="91" t="s">
        <v>53</v>
      </c>
      <c r="V12" s="92" t="s">
        <v>8</v>
      </c>
      <c r="W12" s="93" t="s">
        <v>8</v>
      </c>
      <c r="X12" s="51"/>
    </row>
    <row r="13" spans="1:24" x14ac:dyDescent="0.25">
      <c r="A13" s="125" t="s">
        <v>51</v>
      </c>
      <c r="B13" s="126"/>
      <c r="C13" s="126"/>
      <c r="D13" s="126"/>
      <c r="E13" s="126"/>
      <c r="F13" s="126"/>
      <c r="G13" s="126"/>
      <c r="H13" s="126"/>
      <c r="I13" s="126"/>
      <c r="J13" s="127"/>
      <c r="L13" s="42" t="s">
        <v>23</v>
      </c>
      <c r="M13" s="51"/>
      <c r="N13" s="34" t="s">
        <v>9</v>
      </c>
      <c r="O13" s="91" t="s">
        <v>9</v>
      </c>
      <c r="P13" s="92" t="s">
        <v>12</v>
      </c>
      <c r="Q13" s="93" t="s">
        <v>12</v>
      </c>
      <c r="R13" s="51"/>
      <c r="S13" s="51"/>
      <c r="T13" s="51"/>
      <c r="U13" s="51"/>
      <c r="V13" s="51"/>
      <c r="W13" s="51"/>
      <c r="X13" s="51"/>
    </row>
    <row r="14" spans="1:24" x14ac:dyDescent="0.25">
      <c r="A14" s="6">
        <v>5</v>
      </c>
      <c r="B14" s="6">
        <v>10</v>
      </c>
      <c r="C14" s="6">
        <v>9</v>
      </c>
      <c r="D14" s="6">
        <v>1</v>
      </c>
      <c r="E14" s="6">
        <v>6</v>
      </c>
      <c r="F14" s="6">
        <v>7</v>
      </c>
      <c r="G14" s="6"/>
      <c r="H14" s="6"/>
      <c r="I14" s="6"/>
      <c r="J14" s="6"/>
      <c r="L14" s="42" t="s">
        <v>24</v>
      </c>
      <c r="M14" s="51"/>
      <c r="N14" s="34" t="s">
        <v>53</v>
      </c>
      <c r="O14" s="92" t="s">
        <v>53</v>
      </c>
      <c r="P14" s="93" t="s">
        <v>53</v>
      </c>
      <c r="Q14" s="51"/>
      <c r="R14" s="51"/>
      <c r="S14" s="51"/>
      <c r="T14" s="51"/>
      <c r="U14" s="51"/>
      <c r="V14" s="51"/>
      <c r="W14" s="51"/>
      <c r="X14" s="51"/>
    </row>
    <row r="15" spans="1:24" x14ac:dyDescent="0.25">
      <c r="A15" s="7">
        <v>2</v>
      </c>
      <c r="B15" s="7">
        <v>3</v>
      </c>
      <c r="C15" s="7"/>
      <c r="D15" s="7"/>
      <c r="E15" s="7"/>
      <c r="F15" s="7">
        <v>8</v>
      </c>
      <c r="G15" s="7"/>
      <c r="H15" s="7"/>
      <c r="I15" s="7"/>
      <c r="J15" s="7"/>
      <c r="L15" s="42" t="s">
        <v>25</v>
      </c>
      <c r="M15" s="51"/>
      <c r="N15" s="51"/>
      <c r="O15" s="34" t="s">
        <v>12</v>
      </c>
      <c r="P15" s="91" t="s">
        <v>12</v>
      </c>
      <c r="Q15" s="92" t="s">
        <v>53</v>
      </c>
      <c r="R15" s="93" t="s">
        <v>53</v>
      </c>
      <c r="S15" s="51"/>
      <c r="T15" s="51"/>
      <c r="U15" s="51"/>
      <c r="V15" s="51"/>
      <c r="W15" s="51"/>
      <c r="X15" s="51"/>
    </row>
    <row r="16" spans="1:24" x14ac:dyDescent="0.25">
      <c r="A16" s="7"/>
      <c r="B16" s="7">
        <v>4</v>
      </c>
      <c r="C16" s="7"/>
      <c r="D16" s="7"/>
      <c r="E16" s="7"/>
      <c r="F16" s="7"/>
      <c r="G16" s="7"/>
      <c r="H16" s="7"/>
      <c r="I16" s="7"/>
      <c r="J16" s="7"/>
      <c r="L16" s="42" t="s">
        <v>26</v>
      </c>
      <c r="M16" s="51"/>
      <c r="N16" s="34" t="s">
        <v>10</v>
      </c>
      <c r="O16" s="92" t="s">
        <v>10</v>
      </c>
      <c r="P16" s="93" t="s">
        <v>10</v>
      </c>
      <c r="Q16" s="51"/>
      <c r="R16" s="51"/>
      <c r="S16" s="51"/>
      <c r="T16" s="51"/>
      <c r="U16" s="51"/>
      <c r="V16" s="51"/>
      <c r="W16" s="51"/>
      <c r="X16" s="51"/>
    </row>
    <row r="17" spans="1:24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L17" s="41" t="s">
        <v>27</v>
      </c>
      <c r="M17" s="40"/>
      <c r="N17" s="34" t="s">
        <v>10</v>
      </c>
      <c r="O17" s="91" t="s">
        <v>10</v>
      </c>
      <c r="P17" s="92" t="s">
        <v>9</v>
      </c>
      <c r="Q17" s="93" t="s">
        <v>9</v>
      </c>
      <c r="R17" s="40"/>
      <c r="S17" s="40"/>
      <c r="T17" s="40"/>
      <c r="U17" s="40"/>
      <c r="V17" s="40"/>
      <c r="W17" s="40"/>
      <c r="X17" s="40"/>
    </row>
    <row r="18" spans="1:24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</row>
    <row r="19" spans="1:24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</row>
    <row r="20" spans="1:24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</row>
    <row r="21" spans="1:24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</row>
    <row r="22" spans="1:24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</row>
    <row r="23" spans="1:24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</row>
    <row r="25" spans="1:24" x14ac:dyDescent="0.25">
      <c r="C25" s="5"/>
      <c r="D25" t="s">
        <v>69</v>
      </c>
    </row>
    <row r="26" spans="1:24" x14ac:dyDescent="0.25">
      <c r="C26" s="1"/>
      <c r="D26" t="s">
        <v>70</v>
      </c>
    </row>
    <row r="27" spans="1:24" x14ac:dyDescent="0.25">
      <c r="C27" s="3"/>
      <c r="D27" t="s">
        <v>71</v>
      </c>
    </row>
    <row r="28" spans="1:24" x14ac:dyDescent="0.25">
      <c r="C28" s="9"/>
      <c r="D28" t="s">
        <v>72</v>
      </c>
    </row>
  </sheetData>
  <mergeCells count="8">
    <mergeCell ref="M7:R7"/>
    <mergeCell ref="A13:J13"/>
    <mergeCell ref="A1:J1"/>
    <mergeCell ref="U2:X2"/>
    <mergeCell ref="M3:S3"/>
    <mergeCell ref="M4:P4"/>
    <mergeCell ref="V5:X5"/>
    <mergeCell ref="M6:Q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25</vt:i4>
      </vt:variant>
    </vt:vector>
  </HeadingPairs>
  <TitlesOfParts>
    <vt:vector size="30" baseType="lpstr">
      <vt:lpstr>DATA</vt:lpstr>
      <vt:lpstr>LINGO</vt:lpstr>
      <vt:lpstr>RESULT</vt:lpstr>
      <vt:lpstr>scénario1_dist</vt:lpstr>
      <vt:lpstr>scénario1_Cmax</vt:lpstr>
      <vt:lpstr>LINGO!AJ</vt:lpstr>
      <vt:lpstr>LINGO!BETA</vt:lpstr>
      <vt:lpstr>LINGO!CJ</vt:lpstr>
      <vt:lpstr>LINGO!CMAX</vt:lpstr>
      <vt:lpstr>LINGO!D</vt:lpstr>
      <vt:lpstr>DATA!dech_ens</vt:lpstr>
      <vt:lpstr>LINGO!DELTA</vt:lpstr>
      <vt:lpstr>LINGO!DOCK</vt:lpstr>
      <vt:lpstr>LINGO!GAMMA</vt:lpstr>
      <vt:lpstr>LINGO!IN</vt:lpstr>
      <vt:lpstr>LINGO!LAMBDA</vt:lpstr>
      <vt:lpstr>LINGO!LOAD</vt:lpstr>
      <vt:lpstr>DATA!mont_ens</vt:lpstr>
      <vt:lpstr>DATA!mont_ens2</vt:lpstr>
      <vt:lpstr>LINGO!MU</vt:lpstr>
      <vt:lpstr>LINGO!OUT</vt:lpstr>
      <vt:lpstr>LINGO!PALETTE</vt:lpstr>
      <vt:lpstr>LINGO!Q</vt:lpstr>
      <vt:lpstr>LINGO!SIGMA</vt:lpstr>
      <vt:lpstr>LINGO!TC</vt:lpstr>
      <vt:lpstr>LINGO!TRAILER</vt:lpstr>
      <vt:lpstr>LINGO!UNLOAD</vt:lpstr>
      <vt:lpstr>LINGO!V</vt:lpstr>
      <vt:lpstr>LINGO!X</vt:lpstr>
      <vt:lpstr>LINGO!Y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Rémy Carpentier</dc:creator>
  <cp:lastModifiedBy>Rémy Carpentier</cp:lastModifiedBy>
  <dcterms:created xsi:type="dcterms:W3CDTF">2017-11-30T18:23:00Z</dcterms:created>
  <dcterms:modified xsi:type="dcterms:W3CDTF">2018-01-07T00:16:22Z</dcterms:modified>
</cp:coreProperties>
</file>